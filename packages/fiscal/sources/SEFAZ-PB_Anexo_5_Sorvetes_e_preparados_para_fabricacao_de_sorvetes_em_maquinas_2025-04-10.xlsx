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10" windowWidth="19420" windowHeight="11020"/>
  </bookViews>
  <sheets>
    <sheet name="Sorvetes" sheetId="1" r:id="rId1"/>
  </sheets>
  <calcPr calcId="145621"/>
</workbook>
</file>

<file path=xl/calcChain.xml><?xml version="1.0" encoding="utf-8"?>
<calcChain xmlns="http://schemas.openxmlformats.org/spreadsheetml/2006/main">
  <c r="J5" i="1" l="1"/>
  <c r="I5" i="1"/>
  <c r="H5" i="1"/>
  <c r="A5" i="1"/>
  <c r="J11" i="1"/>
  <c r="I11" i="1"/>
  <c r="H11" i="1"/>
  <c r="A11" i="1"/>
  <c r="J9" i="1"/>
  <c r="I9" i="1"/>
  <c r="H9" i="1"/>
  <c r="A9" i="1"/>
  <c r="J7" i="1"/>
  <c r="I7" i="1"/>
  <c r="H7" i="1"/>
  <c r="A7" i="1"/>
  <c r="J3" i="1"/>
  <c r="I3" i="1"/>
  <c r="H3" i="1"/>
  <c r="A3" i="1"/>
  <c r="H4" i="1" l="1"/>
  <c r="I4" i="1"/>
  <c r="J4" i="1"/>
  <c r="A4" i="1"/>
  <c r="J10" i="1" l="1"/>
  <c r="I10" i="1"/>
  <c r="H10" i="1"/>
  <c r="A10" i="1"/>
  <c r="J8" i="1"/>
  <c r="I8" i="1"/>
  <c r="H8" i="1"/>
  <c r="A8" i="1"/>
  <c r="J6" i="1"/>
  <c r="I6" i="1"/>
  <c r="H6" i="1"/>
  <c r="A6" i="1"/>
  <c r="J2" i="1"/>
  <c r="I2" i="1"/>
  <c r="H2" i="1"/>
  <c r="A2" i="1"/>
</calcChain>
</file>

<file path=xl/sharedStrings.xml><?xml version="1.0" encoding="utf-8"?>
<sst xmlns="http://schemas.openxmlformats.org/spreadsheetml/2006/main" count="59" uniqueCount="26">
  <si>
    <t>Tabela CEST</t>
  </si>
  <si>
    <t>ITEM</t>
  </si>
  <si>
    <t>CEST</t>
  </si>
  <si>
    <t>NCM/SH</t>
  </si>
  <si>
    <t>Vigência inicial</t>
  </si>
  <si>
    <t>Vigência final</t>
  </si>
  <si>
    <t>MVA  Original</t>
  </si>
  <si>
    <t>MVA Aliq 4%</t>
  </si>
  <si>
    <t>MVA Aliq 7%</t>
  </si>
  <si>
    <t>MVA Aliq 12%</t>
  </si>
  <si>
    <t>Aliq Interna</t>
  </si>
  <si>
    <t>Funcep</t>
  </si>
  <si>
    <t>Pauta Fiscal</t>
  </si>
  <si>
    <t>DESCRIÇÃO</t>
  </si>
  <si>
    <t>Legislação</t>
  </si>
  <si>
    <t>1.0</t>
  </si>
  <si>
    <t>23.001.00</t>
  </si>
  <si>
    <t>Pauta</t>
  </si>
  <si>
    <t>Sorvetes de qualquer espécie</t>
  </si>
  <si>
    <t>DECRETO ICMS/PB Nº 39.158</t>
  </si>
  <si>
    <t>2.0</t>
  </si>
  <si>
    <t>23.002.00</t>
  </si>
  <si>
    <t>Preparados para fabricação de sorvete em máquina</t>
  </si>
  <si>
    <t>0404</t>
  </si>
  <si>
    <t>DECRETO ICMS/PB Nº 43.949/2023</t>
  </si>
  <si>
    <t>DECRETO ICMS/PB Nº 44.681/23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</si>
</sst>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justify" vertical="center" wrapText="1"/>
    </xf>
    <xf numFmtId="14" fontId="2" fillId="2" borderId="1" xfId="0" applyNumberFormat="1" applyFont="1" applyFill="1" applyBorder="1" applyAlignment="1">
      <alignment horizontal="justify" vertical="center" wrapText="1"/>
    </xf>
    <xf numFmtId="10" fontId="2" fillId="2" borderId="1" xfId="0" applyNumberFormat="1" applyFont="1" applyFill="1" applyBorder="1"/>
    <xf numFmtId="9" fontId="2" fillId="2" borderId="1" xfId="0" applyNumberFormat="1" applyFont="1" applyFill="1" applyBorder="1"/>
    <xf numFmtId="0" fontId="2" fillId="2" borderId="2" xfId="0" applyFont="1" applyFill="1" applyBorder="1"/>
    <xf numFmtId="49" fontId="2" fillId="2" borderId="1" xfId="0" applyNumberFormat="1" applyFont="1" applyFill="1" applyBorder="1" applyAlignment="1">
      <alignment horizontal="justify" vertical="center" wrapText="1"/>
    </xf>
    <xf numFmtId="1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14" fontId="2" fillId="2" borderId="0" xfId="0" applyNumberFormat="1" applyFont="1" applyFill="1" applyBorder="1" applyAlignment="1">
      <alignment horizontal="justify" vertical="center" wrapText="1"/>
    </xf>
    <xf numFmtId="0" fontId="2" fillId="2" borderId="0" xfId="0" applyFont="1" applyFill="1" applyBorder="1"/>
    <xf numFmtId="9" fontId="2" fillId="2" borderId="0" xfId="0" applyNumberFormat="1" applyFont="1" applyFill="1" applyBorder="1"/>
    <xf numFmtId="0" fontId="3" fillId="2" borderId="0" xfId="0" applyFont="1" applyFill="1"/>
    <xf numFmtId="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zoomScale="90" zoomScaleNormal="90" workbookViewId="0">
      <pane ySplit="1" topLeftCell="A2" activePane="bottomLeft" state="frozen"/>
      <selection pane="bottomLeft" activeCell="L19" sqref="L19"/>
    </sheetView>
  </sheetViews>
  <sheetFormatPr defaultColWidth="9.1796875" defaultRowHeight="14.5" x14ac:dyDescent="0.35"/>
  <cols>
    <col min="1" max="1" width="6.54296875" style="5" bestFit="1" customWidth="1"/>
    <col min="2" max="2" width="4.7265625" style="5" bestFit="1" customWidth="1"/>
    <col min="3" max="5" width="9.1796875" style="5"/>
    <col min="6" max="6" width="9.1796875" style="18"/>
    <col min="7" max="7" width="7" style="5" bestFit="1" customWidth="1"/>
    <col min="8" max="10" width="7.54296875" style="5" bestFit="1" customWidth="1"/>
    <col min="11" max="11" width="6" style="19" bestFit="1" customWidth="1"/>
    <col min="12" max="12" width="6" style="5" bestFit="1" customWidth="1"/>
    <col min="13" max="13" width="5.453125" style="5" bestFit="1" customWidth="1"/>
    <col min="14" max="14" width="38.6328125" style="5" customWidth="1"/>
    <col min="15" max="15" width="25" style="5" customWidth="1"/>
    <col min="16" max="16384" width="9.1796875" style="5"/>
  </cols>
  <sheetData>
    <row r="1" spans="1:15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3" t="s">
        <v>13</v>
      </c>
      <c r="O1" s="4" t="s">
        <v>14</v>
      </c>
    </row>
    <row r="2" spans="1:15" ht="12" x14ac:dyDescent="0.3">
      <c r="A2" s="6" t="str">
        <f t="shared" ref="A2:A11" si="0">LEFT(C2,2)</f>
        <v>23</v>
      </c>
      <c r="B2" s="7" t="s">
        <v>15</v>
      </c>
      <c r="C2" s="7" t="s">
        <v>16</v>
      </c>
      <c r="D2" s="7">
        <v>210500</v>
      </c>
      <c r="E2" s="8">
        <v>43592</v>
      </c>
      <c r="F2" s="8">
        <v>45291</v>
      </c>
      <c r="G2" s="9">
        <v>0.7</v>
      </c>
      <c r="H2" s="9">
        <f t="shared" ref="H2:H11" si="1">((1+G2)*(1-4%)/(1-K2))-1</f>
        <v>0.99024390243902416</v>
      </c>
      <c r="I2" s="9">
        <f t="shared" ref="I2:I11" si="2">((1+G2)*(1-7%)/(1-K2))-1</f>
        <v>0.92804878048780459</v>
      </c>
      <c r="J2" s="9">
        <f t="shared" ref="J2:J11" si="3">((1+G2)*(1-12%)/(1-K2))-1</f>
        <v>0.82439024390243887</v>
      </c>
      <c r="K2" s="10">
        <v>0.18</v>
      </c>
      <c r="L2" s="10"/>
      <c r="M2" s="10" t="s">
        <v>17</v>
      </c>
      <c r="N2" s="7" t="s">
        <v>18</v>
      </c>
      <c r="O2" s="11" t="s">
        <v>19</v>
      </c>
    </row>
    <row r="3" spans="1:15" ht="12" x14ac:dyDescent="0.3">
      <c r="A3" s="6" t="str">
        <f t="shared" si="0"/>
        <v>23</v>
      </c>
      <c r="B3" s="7" t="s">
        <v>15</v>
      </c>
      <c r="C3" s="7" t="s">
        <v>16</v>
      </c>
      <c r="D3" s="7">
        <v>210500</v>
      </c>
      <c r="E3" s="8">
        <v>45292</v>
      </c>
      <c r="F3" s="7"/>
      <c r="G3" s="9">
        <v>0.7</v>
      </c>
      <c r="H3" s="9">
        <f t="shared" si="1"/>
        <v>1.0399999999999996</v>
      </c>
      <c r="I3" s="9">
        <f t="shared" si="2"/>
        <v>0.97624999999999984</v>
      </c>
      <c r="J3" s="9">
        <f t="shared" si="3"/>
        <v>0.86999999999999988</v>
      </c>
      <c r="K3" s="10">
        <v>0.2</v>
      </c>
      <c r="L3" s="10"/>
      <c r="M3" s="10" t="s">
        <v>17</v>
      </c>
      <c r="N3" s="7" t="s">
        <v>18</v>
      </c>
      <c r="O3" s="11" t="s">
        <v>25</v>
      </c>
    </row>
    <row r="4" spans="1:15" ht="12" x14ac:dyDescent="0.3">
      <c r="A4" s="6" t="str">
        <f t="shared" si="0"/>
        <v>23</v>
      </c>
      <c r="B4" s="7" t="s">
        <v>20</v>
      </c>
      <c r="C4" s="7" t="s">
        <v>21</v>
      </c>
      <c r="D4" s="12" t="s">
        <v>23</v>
      </c>
      <c r="E4" s="13">
        <v>45078</v>
      </c>
      <c r="F4" s="8">
        <v>45291</v>
      </c>
      <c r="G4" s="9">
        <v>3.28</v>
      </c>
      <c r="H4" s="9">
        <f t="shared" si="1"/>
        <v>4.0107317073170723</v>
      </c>
      <c r="I4" s="9">
        <f t="shared" si="2"/>
        <v>3.8541463414634132</v>
      </c>
      <c r="J4" s="9">
        <f t="shared" si="3"/>
        <v>3.5931707317073158</v>
      </c>
      <c r="K4" s="10">
        <v>0.18</v>
      </c>
      <c r="L4" s="14"/>
      <c r="M4" s="14"/>
      <c r="N4" s="7" t="s">
        <v>22</v>
      </c>
      <c r="O4" s="11" t="s">
        <v>24</v>
      </c>
    </row>
    <row r="5" spans="1:15" ht="12" x14ac:dyDescent="0.3">
      <c r="A5" s="6" t="str">
        <f t="shared" si="0"/>
        <v>23</v>
      </c>
      <c r="B5" s="7" t="s">
        <v>20</v>
      </c>
      <c r="C5" s="7" t="s">
        <v>21</v>
      </c>
      <c r="D5" s="7" t="s">
        <v>23</v>
      </c>
      <c r="E5" s="8">
        <v>45292</v>
      </c>
      <c r="F5" s="7"/>
      <c r="G5" s="9">
        <v>3.28</v>
      </c>
      <c r="H5" s="9">
        <f t="shared" si="1"/>
        <v>4.1359999999999992</v>
      </c>
      <c r="I5" s="9">
        <f t="shared" si="2"/>
        <v>3.9754999999999985</v>
      </c>
      <c r="J5" s="9">
        <f t="shared" si="3"/>
        <v>3.7079999999999993</v>
      </c>
      <c r="K5" s="10">
        <v>0.2</v>
      </c>
      <c r="L5" s="14"/>
      <c r="M5" s="10"/>
      <c r="N5" s="7" t="s">
        <v>22</v>
      </c>
      <c r="O5" s="11" t="s">
        <v>25</v>
      </c>
    </row>
    <row r="6" spans="1:15" ht="12" x14ac:dyDescent="0.3">
      <c r="A6" s="6" t="str">
        <f t="shared" si="0"/>
        <v>23</v>
      </c>
      <c r="B6" s="7" t="s">
        <v>20</v>
      </c>
      <c r="C6" s="7" t="s">
        <v>21</v>
      </c>
      <c r="D6" s="7">
        <v>1806</v>
      </c>
      <c r="E6" s="15">
        <v>43592</v>
      </c>
      <c r="F6" s="8">
        <v>45291</v>
      </c>
      <c r="G6" s="9">
        <v>3.28</v>
      </c>
      <c r="H6" s="9">
        <f t="shared" si="1"/>
        <v>4.0107317073170723</v>
      </c>
      <c r="I6" s="9">
        <f t="shared" si="2"/>
        <v>3.8541463414634132</v>
      </c>
      <c r="J6" s="9">
        <f t="shared" si="3"/>
        <v>3.5931707317073158</v>
      </c>
      <c r="K6" s="10">
        <v>0.18</v>
      </c>
      <c r="L6" s="16"/>
      <c r="M6" s="17"/>
      <c r="N6" s="7" t="s">
        <v>22</v>
      </c>
      <c r="O6" s="16" t="s">
        <v>19</v>
      </c>
    </row>
    <row r="7" spans="1:15" ht="12" x14ac:dyDescent="0.3">
      <c r="A7" s="6" t="str">
        <f t="shared" si="0"/>
        <v>23</v>
      </c>
      <c r="B7" s="7" t="s">
        <v>20</v>
      </c>
      <c r="C7" s="7" t="s">
        <v>21</v>
      </c>
      <c r="D7" s="7">
        <v>1806</v>
      </c>
      <c r="E7" s="8">
        <v>45292</v>
      </c>
      <c r="F7" s="7"/>
      <c r="G7" s="9">
        <v>3.28</v>
      </c>
      <c r="H7" s="9">
        <f t="shared" si="1"/>
        <v>4.1359999999999992</v>
      </c>
      <c r="I7" s="9">
        <f t="shared" si="2"/>
        <v>3.9754999999999985</v>
      </c>
      <c r="J7" s="9">
        <f t="shared" si="3"/>
        <v>3.7079999999999993</v>
      </c>
      <c r="K7" s="10">
        <v>0.2</v>
      </c>
      <c r="L7" s="14"/>
      <c r="M7" s="10"/>
      <c r="N7" s="7" t="s">
        <v>22</v>
      </c>
      <c r="O7" s="11" t="s">
        <v>25</v>
      </c>
    </row>
    <row r="8" spans="1:15" ht="12" x14ac:dyDescent="0.3">
      <c r="A8" s="6" t="str">
        <f t="shared" si="0"/>
        <v>23</v>
      </c>
      <c r="B8" s="7" t="s">
        <v>20</v>
      </c>
      <c r="C8" s="7" t="s">
        <v>21</v>
      </c>
      <c r="D8" s="7">
        <v>1901</v>
      </c>
      <c r="E8" s="8">
        <v>43592</v>
      </c>
      <c r="F8" s="8">
        <v>45291</v>
      </c>
      <c r="G8" s="9">
        <v>3.28</v>
      </c>
      <c r="H8" s="9">
        <f t="shared" si="1"/>
        <v>4.0107317073170723</v>
      </c>
      <c r="I8" s="9">
        <f t="shared" si="2"/>
        <v>3.8541463414634132</v>
      </c>
      <c r="J8" s="9">
        <f t="shared" si="3"/>
        <v>3.5931707317073158</v>
      </c>
      <c r="K8" s="10">
        <v>0.18</v>
      </c>
      <c r="L8" s="14"/>
      <c r="M8" s="10"/>
      <c r="N8" s="7" t="s">
        <v>22</v>
      </c>
      <c r="O8" s="11" t="s">
        <v>19</v>
      </c>
    </row>
    <row r="9" spans="1:15" ht="12" x14ac:dyDescent="0.3">
      <c r="A9" s="6" t="str">
        <f t="shared" si="0"/>
        <v>23</v>
      </c>
      <c r="B9" s="7" t="s">
        <v>20</v>
      </c>
      <c r="C9" s="7" t="s">
        <v>21</v>
      </c>
      <c r="D9" s="7">
        <v>1901</v>
      </c>
      <c r="E9" s="8">
        <v>45292</v>
      </c>
      <c r="F9" s="7"/>
      <c r="G9" s="9">
        <v>3.28</v>
      </c>
      <c r="H9" s="9">
        <f t="shared" si="1"/>
        <v>4.1359999999999992</v>
      </c>
      <c r="I9" s="9">
        <f t="shared" si="2"/>
        <v>3.9754999999999985</v>
      </c>
      <c r="J9" s="9">
        <f t="shared" si="3"/>
        <v>3.7079999999999993</v>
      </c>
      <c r="K9" s="10">
        <v>0.2</v>
      </c>
      <c r="L9" s="14"/>
      <c r="M9" s="10"/>
      <c r="N9" s="7" t="s">
        <v>22</v>
      </c>
      <c r="O9" s="11" t="s">
        <v>25</v>
      </c>
    </row>
    <row r="10" spans="1:15" ht="12" x14ac:dyDescent="0.3">
      <c r="A10" s="6" t="str">
        <f t="shared" si="0"/>
        <v>23</v>
      </c>
      <c r="B10" s="7" t="s">
        <v>20</v>
      </c>
      <c r="C10" s="7" t="s">
        <v>21</v>
      </c>
      <c r="D10" s="7">
        <v>2106</v>
      </c>
      <c r="E10" s="8">
        <v>43592</v>
      </c>
      <c r="F10" s="8">
        <v>45291</v>
      </c>
      <c r="G10" s="9">
        <v>3.28</v>
      </c>
      <c r="H10" s="9">
        <f t="shared" si="1"/>
        <v>4.0107317073170723</v>
      </c>
      <c r="I10" s="9">
        <f t="shared" si="2"/>
        <v>3.8541463414634132</v>
      </c>
      <c r="J10" s="9">
        <f t="shared" si="3"/>
        <v>3.5931707317073158</v>
      </c>
      <c r="K10" s="10">
        <v>0.18</v>
      </c>
      <c r="L10" s="14"/>
      <c r="M10" s="10"/>
      <c r="N10" s="7" t="s">
        <v>22</v>
      </c>
      <c r="O10" s="11" t="s">
        <v>19</v>
      </c>
    </row>
    <row r="11" spans="1:15" ht="12" x14ac:dyDescent="0.3">
      <c r="A11" s="6" t="str">
        <f t="shared" si="0"/>
        <v>23</v>
      </c>
      <c r="B11" s="7" t="s">
        <v>20</v>
      </c>
      <c r="C11" s="7" t="s">
        <v>21</v>
      </c>
      <c r="D11" s="7">
        <v>2106</v>
      </c>
      <c r="E11" s="8">
        <v>45292</v>
      </c>
      <c r="F11" s="7"/>
      <c r="G11" s="9">
        <v>3.28</v>
      </c>
      <c r="H11" s="9">
        <f t="shared" si="1"/>
        <v>4.1359999999999992</v>
      </c>
      <c r="I11" s="9">
        <f t="shared" si="2"/>
        <v>3.9754999999999985</v>
      </c>
      <c r="J11" s="9">
        <f t="shared" si="3"/>
        <v>3.7079999999999993</v>
      </c>
      <c r="K11" s="10">
        <v>0.2</v>
      </c>
      <c r="L11" s="14"/>
      <c r="M11" s="10"/>
      <c r="N11" s="7" t="s">
        <v>22</v>
      </c>
      <c r="O11" s="11" t="s">
        <v>25</v>
      </c>
    </row>
  </sheetData>
  <sheetProtection password="F150" sheet="1" objects="1" scenarios="1"/>
  <sortState ref="A2:O11">
    <sortCondition ref="B2:B11"/>
    <sortCondition ref="C2:C11"/>
    <sortCondition ref="D2:D11"/>
    <sortCondition ref="E2:E1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Sorvetes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de Arruda</dc:creator>
  <cp:lastModifiedBy>Joselinda Goncalves Machado</cp:lastModifiedBy>
  <dcterms:created xsi:type="dcterms:W3CDTF">2019-07-04T13:59:51Z</dcterms:created>
  <dcterms:modified xsi:type="dcterms:W3CDTF">2025-02-27T12:23:47Z</dcterms:modified>
</cp:coreProperties>
</file>