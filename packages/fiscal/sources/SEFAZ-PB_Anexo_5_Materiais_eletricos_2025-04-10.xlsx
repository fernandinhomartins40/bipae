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10" windowWidth="19420" windowHeight="11020"/>
  </bookViews>
  <sheets>
    <sheet name="Mat_Eletricos" sheetId="1" r:id="rId1"/>
  </sheets>
  <calcPr calcId="145621"/>
</workbook>
</file>

<file path=xl/calcChain.xml><?xml version="1.0" encoding="utf-8"?>
<calcChain xmlns="http://schemas.openxmlformats.org/spreadsheetml/2006/main">
  <c r="J23" i="1" l="1"/>
  <c r="I23" i="1"/>
  <c r="H23" i="1"/>
  <c r="A23" i="1"/>
  <c r="J21" i="1"/>
  <c r="I21" i="1"/>
  <c r="H21" i="1"/>
  <c r="A21" i="1"/>
  <c r="J17" i="1"/>
  <c r="I17" i="1"/>
  <c r="H17" i="1"/>
  <c r="A17" i="1"/>
  <c r="J15" i="1"/>
  <c r="I15" i="1"/>
  <c r="H15" i="1"/>
  <c r="A15" i="1"/>
  <c r="J19" i="1"/>
  <c r="I19" i="1"/>
  <c r="H19" i="1"/>
  <c r="A19" i="1"/>
  <c r="J13" i="1"/>
  <c r="I13" i="1"/>
  <c r="H13" i="1"/>
  <c r="A13" i="1"/>
  <c r="J11" i="1"/>
  <c r="I11" i="1"/>
  <c r="H11" i="1"/>
  <c r="A11" i="1"/>
  <c r="J9" i="1"/>
  <c r="I9" i="1"/>
  <c r="H9" i="1"/>
  <c r="A9" i="1"/>
  <c r="J7" i="1"/>
  <c r="I7" i="1"/>
  <c r="H7" i="1"/>
  <c r="A7" i="1"/>
  <c r="J5" i="1"/>
  <c r="I5" i="1"/>
  <c r="H5" i="1"/>
  <c r="A5" i="1"/>
  <c r="J3" i="1"/>
  <c r="I3" i="1"/>
  <c r="H3" i="1"/>
  <c r="A3" i="1"/>
  <c r="J22" i="1" l="1"/>
  <c r="I22" i="1"/>
  <c r="H22" i="1"/>
  <c r="A22" i="1"/>
  <c r="J20" i="1"/>
  <c r="I20" i="1"/>
  <c r="H20" i="1"/>
  <c r="A20" i="1"/>
  <c r="J16" i="1"/>
  <c r="I16" i="1"/>
  <c r="H16" i="1"/>
  <c r="A16" i="1"/>
  <c r="J14" i="1"/>
  <c r="I14" i="1"/>
  <c r="H14" i="1"/>
  <c r="A14" i="1"/>
  <c r="J18" i="1"/>
  <c r="I18" i="1"/>
  <c r="H18" i="1"/>
  <c r="A18" i="1"/>
  <c r="J12" i="1"/>
  <c r="I12" i="1"/>
  <c r="H12" i="1"/>
  <c r="A12" i="1"/>
  <c r="J10" i="1"/>
  <c r="I10" i="1"/>
  <c r="H10" i="1"/>
  <c r="A10" i="1"/>
  <c r="J8" i="1"/>
  <c r="I8" i="1"/>
  <c r="H8" i="1"/>
  <c r="A8" i="1"/>
  <c r="J6" i="1"/>
  <c r="I6" i="1"/>
  <c r="H6" i="1"/>
  <c r="A6" i="1"/>
  <c r="J4" i="1"/>
  <c r="I4" i="1"/>
  <c r="H4" i="1"/>
  <c r="A4" i="1"/>
  <c r="J2" i="1"/>
  <c r="I2" i="1"/>
  <c r="H2" i="1"/>
  <c r="A2" i="1"/>
</calcChain>
</file>

<file path=xl/sharedStrings.xml><?xml version="1.0" encoding="utf-8"?>
<sst xmlns="http://schemas.openxmlformats.org/spreadsheetml/2006/main" count="103" uniqueCount="44">
  <si>
    <t>Tabela CEST</t>
  </si>
  <si>
    <t>ITEM</t>
  </si>
  <si>
    <t>CEST</t>
  </si>
  <si>
    <t>NCM/SH</t>
  </si>
  <si>
    <t>Vigência inicial</t>
  </si>
  <si>
    <t>Vigência final</t>
  </si>
  <si>
    <t>MVA  Original</t>
  </si>
  <si>
    <t>MVA Aliq 4%</t>
  </si>
  <si>
    <t>MVA Aliq 7%</t>
  </si>
  <si>
    <t>MVA Aliq 12%</t>
  </si>
  <si>
    <t>Aliq Interna</t>
  </si>
  <si>
    <t>Funcep</t>
  </si>
  <si>
    <t>Pauta Fiscal</t>
  </si>
  <si>
    <t>DESCRIÇÃO</t>
  </si>
  <si>
    <t>Legislação</t>
  </si>
  <si>
    <t>1.0</t>
  </si>
  <si>
    <t>12.001.00</t>
  </si>
  <si>
    <t>Transformadores, bobinas de reatância e de auto indução, inclusive os transformadores de potência superior a 16 KVA, classificados nas posições 8504.33.00 e 8504.34.00; exceto os demais transformadores da subposição 8504.3, os reatores para lâmpadas elétricas de descarga classificados no código 8504.10.00, os carregadores de acumuladores do código 8504.40.10, os equipamentos de alimentação ininterrupta de energia (UPS ou “no break”), no código 8504.40.40 e os de uso automotivo</t>
  </si>
  <si>
    <t>DECRETO ICMS/PB Nº 39.158</t>
  </si>
  <si>
    <t>2.0</t>
  </si>
  <si>
    <t>12.002.00</t>
  </si>
  <si>
    <t>Aquecedores elétricos de água, incluídos os de imersão, chuveiros ou duchas elétricos, torneiras elétricas, resistências de aquecimento, inclusive as de duchas e chuveiros elétricos e suas partes; exceto outros fornos, fogareiros (incluídas as chapas de cocção), grelhas e assadeiras, classificados na posição 8516.60.00</t>
  </si>
  <si>
    <t>3.0</t>
  </si>
  <si>
    <t>12.003.00</t>
  </si>
  <si>
    <t>Aparelhos para interrupção, seccionamento, proteção, derivação, ligação ou conexão de circuitos elétricos (por exemplo, interruptores, comutadores, corta-circuitos, para-raios, limitadores de tensão, eliminadores de onda, tomadas de corrente e outros conectores, caixas de junção), para tensão superior a 1.000V, exceto os de uso automotivo</t>
  </si>
  <si>
    <t>4.0</t>
  </si>
  <si>
    <t>12.004.00</t>
  </si>
  <si>
    <t>Aparelhos para interrupção, seccionamento, proteção, derivação, ligação ou conexão de circuitos elétricos (por exemplo, interruptores, comutadores, relés, corta-circuitos, eliminadores de onda, plugues e tomadas de corrente, suportes para lâmpadas e outros conectores, caixas de junção), para uma tensão não superior a 1.000V; conectores para fibras ópticas, feixes ou cabos de fibras ópticas; exceto “starter” classificado na subposição 8536.50 e os de uso automotivo</t>
  </si>
  <si>
    <t>5.0</t>
  </si>
  <si>
    <t>12.005.00</t>
  </si>
  <si>
    <t>Partes reconhecíveis como exclusiva ou principalmente destinadas aos aparelhos das posições 8535 e 8536</t>
  </si>
  <si>
    <t>6.0</t>
  </si>
  <si>
    <t>12.006.00</t>
  </si>
  <si>
    <t>Cabos, tranças e semelhantes, de cobre, não isolados para usos elétricos, exceto os de uso automotivo</t>
  </si>
  <si>
    <t>7.0</t>
  </si>
  <si>
    <t>12.007.00</t>
  </si>
  <si>
    <t>Fios, cabos (incluídos os cabos coaxiais) e outros condutores, isolados ou não, para usos elétricos (incluídos os de cobre ou alumínio, envernizados ou oxidados anodicamente), mesmo com peças de conexão, inclusive fios e cabos elétricos, para tensão não superior a 1000V, para uso na construção; fios e cabos telefônicos e para transmissão de dados; cabos de fibras ópticas, constituídos de fibras embainhadas individualmente, mesmo com condutores elétricos ou munidos de peças de conexão; cordas, cabos, tranças e semelhantes, de alumínio, não isolados para uso elétricos; exceto os de uso automotivo</t>
  </si>
  <si>
    <t>8.0</t>
  </si>
  <si>
    <t>12.008.00</t>
  </si>
  <si>
    <t>Isoladores de qualquer matéria, para usos elétricos</t>
  </si>
  <si>
    <t>9.0</t>
  </si>
  <si>
    <t>12.009.00</t>
  </si>
  <si>
    <t>Peças isolantes inteiramente de matérias isolantes, ou com simples peças metálicas de montagem (suportes roscados, por exemplo) incorporadas na massa, para máquinas, aparelhos e instalações elétricas; tubos isoladores e suas peças de ligação, de metais comuns, isolados interiormente</t>
  </si>
  <si>
    <t>DECRETO ICMS/PB Nº 44.681/23</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</si>
</sst>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9"/>
      <color theme="1"/>
      <name val="Calibri"/>
      <family val="2"/>
      <scheme val="minor"/>
    </font>
    <font>
      <sz val="9"/>
      <color theme="1"/>
      <name val="Calibri"/>
      <family val="2"/>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9" fontId="1" fillId="0" borderId="1"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2" fillId="2" borderId="1" xfId="0" applyFont="1" applyFill="1" applyBorder="1" applyAlignment="1"/>
    <xf numFmtId="0" fontId="2" fillId="0" borderId="0" xfId="0" applyFont="1"/>
    <xf numFmtId="0" fontId="2" fillId="0" borderId="1" xfId="0" applyFont="1" applyBorder="1" applyAlignment="1">
      <alignment horizontal="center"/>
    </xf>
    <xf numFmtId="0" fontId="2" fillId="2" borderId="1" xfId="0" applyFont="1" applyFill="1" applyBorder="1" applyAlignment="1">
      <alignment horizontal="justify" vertical="center" wrapText="1"/>
    </xf>
    <xf numFmtId="14" fontId="2" fillId="2" borderId="2" xfId="0" applyNumberFormat="1" applyFont="1" applyFill="1" applyBorder="1" applyAlignment="1">
      <alignment horizontal="justify" vertical="center" wrapText="1"/>
    </xf>
    <xf numFmtId="10" fontId="2" fillId="0" borderId="1" xfId="0" applyNumberFormat="1" applyFont="1" applyBorder="1"/>
    <xf numFmtId="9" fontId="2" fillId="0" borderId="1" xfId="0" applyNumberFormat="1" applyFont="1" applyBorder="1"/>
    <xf numFmtId="0" fontId="2" fillId="0" borderId="1" xfId="0" applyFont="1" applyBorder="1"/>
    <xf numFmtId="0" fontId="2" fillId="0" borderId="2" xfId="0" applyFont="1" applyBorder="1"/>
    <xf numFmtId="9" fontId="2" fillId="0" borderId="0" xfId="0" applyNumberFormat="1" applyFont="1"/>
    <xf numFmtId="0" fontId="2" fillId="0" borderId="0" xfId="0" applyFont="1" applyAlignment="1"/>
    <xf numFmtId="14" fontId="2" fillId="2" borderId="1" xfId="0" applyNumberFormat="1" applyFont="1" applyFill="1" applyBorder="1" applyAlignment="1">
      <alignment horizontal="justify" vertical="center" wrapText="1"/>
    </xf>
    <xf numFmtId="0" fontId="2" fillId="2" borderId="2" xfId="0" applyFont="1" applyFill="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
  <sheetViews>
    <sheetView tabSelected="1" zoomScale="90" zoomScaleNormal="90" workbookViewId="0">
      <pane ySplit="1" topLeftCell="A2" activePane="bottomLeft" state="frozen"/>
      <selection pane="bottomLeft" activeCell="G24" sqref="G24"/>
    </sheetView>
  </sheetViews>
  <sheetFormatPr defaultColWidth="9.1796875" defaultRowHeight="12" x14ac:dyDescent="0.3"/>
  <cols>
    <col min="1" max="1" width="5.7265625" style="7" bestFit="1" customWidth="1"/>
    <col min="2" max="2" width="4.7265625" style="7" bestFit="1" customWidth="1"/>
    <col min="3" max="3" width="7.81640625" style="7" bestFit="1" customWidth="1"/>
    <col min="4" max="4" width="8.7265625" style="7" bestFit="1" customWidth="1"/>
    <col min="5" max="6" width="9.26953125" style="7" bestFit="1" customWidth="1"/>
    <col min="7" max="7" width="6.54296875" style="7" bestFit="1" customWidth="1"/>
    <col min="8" max="10" width="7.54296875" style="7" bestFit="1" customWidth="1"/>
    <col min="11" max="11" width="6" style="15" bestFit="1" customWidth="1"/>
    <col min="12" max="12" width="6" style="7" bestFit="1" customWidth="1"/>
    <col min="13" max="13" width="5" style="7" bestFit="1" customWidth="1"/>
    <col min="14" max="14" width="50.7265625" style="16" customWidth="1"/>
    <col min="15" max="15" width="24.7265625" style="7" bestFit="1" customWidth="1"/>
    <col min="16" max="16384" width="9.1796875" style="7"/>
  </cols>
  <sheetData>
    <row r="1" spans="1:15" ht="24" x14ac:dyDescent="0.3">
      <c r="A1" s="1" t="s">
        <v>0</v>
      </c>
      <c r="B1" s="2" t="s">
        <v>1</v>
      </c>
      <c r="C1" s="2" t="s">
        <v>2</v>
      </c>
      <c r="D1" s="2" t="s">
        <v>3</v>
      </c>
      <c r="E1" s="3" t="s">
        <v>4</v>
      </c>
      <c r="F1" s="3" t="s">
        <v>5</v>
      </c>
      <c r="G1" s="1" t="s">
        <v>6</v>
      </c>
      <c r="H1" s="1" t="s">
        <v>7</v>
      </c>
      <c r="I1" s="1" t="s">
        <v>8</v>
      </c>
      <c r="J1" s="1" t="s">
        <v>9</v>
      </c>
      <c r="K1" s="4" t="s">
        <v>10</v>
      </c>
      <c r="L1" s="1" t="s">
        <v>11</v>
      </c>
      <c r="M1" s="5" t="s">
        <v>12</v>
      </c>
      <c r="N1" s="6" t="s">
        <v>13</v>
      </c>
      <c r="O1" s="5" t="s">
        <v>14</v>
      </c>
    </row>
    <row r="2" spans="1:15" x14ac:dyDescent="0.3">
      <c r="A2" s="8" t="str">
        <f t="shared" ref="A2:A23" si="0">LEFT(C2,2)</f>
        <v>12</v>
      </c>
      <c r="B2" s="9" t="s">
        <v>15</v>
      </c>
      <c r="C2" s="9" t="s">
        <v>16</v>
      </c>
      <c r="D2" s="9">
        <v>8504</v>
      </c>
      <c r="E2" s="10">
        <v>43592</v>
      </c>
      <c r="F2" s="10">
        <v>45291</v>
      </c>
      <c r="G2" s="11">
        <v>0.48</v>
      </c>
      <c r="H2" s="11">
        <f t="shared" ref="H2:H23" si="1">((1+G2)*(1-4%)/(1-K2))-1</f>
        <v>0.73268292682926806</v>
      </c>
      <c r="I2" s="11">
        <f t="shared" ref="I2:I23" si="2">((1+G2)*(1-7%)/(1-K2))-1</f>
        <v>0.67853658536585337</v>
      </c>
      <c r="J2" s="11">
        <f t="shared" ref="J2:J23" si="3">((1+G2)*(1-12%)/(1-K2))-1</f>
        <v>0.58829268292682912</v>
      </c>
      <c r="K2" s="12">
        <v>0.18</v>
      </c>
      <c r="L2" s="13"/>
      <c r="M2" s="13"/>
      <c r="N2" s="6" t="s">
        <v>17</v>
      </c>
      <c r="O2" s="14" t="s">
        <v>18</v>
      </c>
    </row>
    <row r="3" spans="1:15" x14ac:dyDescent="0.3">
      <c r="A3" s="8" t="str">
        <f t="shared" si="0"/>
        <v>12</v>
      </c>
      <c r="B3" s="9" t="s">
        <v>15</v>
      </c>
      <c r="C3" s="9" t="s">
        <v>16</v>
      </c>
      <c r="D3" s="9">
        <v>8504</v>
      </c>
      <c r="E3" s="10">
        <v>45292</v>
      </c>
      <c r="F3" s="18"/>
      <c r="G3" s="11">
        <v>0.48</v>
      </c>
      <c r="H3" s="11">
        <f t="shared" si="1"/>
        <v>0.7759999999999998</v>
      </c>
      <c r="I3" s="11">
        <f t="shared" si="2"/>
        <v>0.7204999999999997</v>
      </c>
      <c r="J3" s="11">
        <f t="shared" si="3"/>
        <v>0.62799999999999989</v>
      </c>
      <c r="K3" s="12">
        <v>0.2</v>
      </c>
      <c r="L3" s="13"/>
      <c r="M3" s="13"/>
      <c r="N3" s="6" t="s">
        <v>17</v>
      </c>
      <c r="O3" s="14" t="s">
        <v>43</v>
      </c>
    </row>
    <row r="4" spans="1:15" x14ac:dyDescent="0.3">
      <c r="A4" s="8" t="str">
        <f t="shared" si="0"/>
        <v>12</v>
      </c>
      <c r="B4" s="9" t="s">
        <v>19</v>
      </c>
      <c r="C4" s="9" t="s">
        <v>20</v>
      </c>
      <c r="D4" s="9">
        <v>8516</v>
      </c>
      <c r="E4" s="10">
        <v>43592</v>
      </c>
      <c r="F4" s="10">
        <v>45291</v>
      </c>
      <c r="G4" s="11">
        <v>0.37</v>
      </c>
      <c r="H4" s="11">
        <f t="shared" si="1"/>
        <v>0.60390243902439034</v>
      </c>
      <c r="I4" s="11">
        <f t="shared" si="2"/>
        <v>0.55378048780487799</v>
      </c>
      <c r="J4" s="11">
        <f t="shared" si="3"/>
        <v>0.47024390243902436</v>
      </c>
      <c r="K4" s="12">
        <v>0.18</v>
      </c>
      <c r="L4" s="13"/>
      <c r="M4" s="13"/>
      <c r="N4" s="6" t="s">
        <v>21</v>
      </c>
      <c r="O4" s="14" t="s">
        <v>18</v>
      </c>
    </row>
    <row r="5" spans="1:15" x14ac:dyDescent="0.3">
      <c r="A5" s="8" t="str">
        <f t="shared" si="0"/>
        <v>12</v>
      </c>
      <c r="B5" s="9" t="s">
        <v>19</v>
      </c>
      <c r="C5" s="9" t="s">
        <v>20</v>
      </c>
      <c r="D5" s="9">
        <v>8516</v>
      </c>
      <c r="E5" s="10">
        <v>45292</v>
      </c>
      <c r="F5" s="14"/>
      <c r="G5" s="11">
        <v>0.37</v>
      </c>
      <c r="H5" s="11">
        <f t="shared" si="1"/>
        <v>0.64400000000000013</v>
      </c>
      <c r="I5" s="11">
        <f t="shared" si="2"/>
        <v>0.59262499999999996</v>
      </c>
      <c r="J5" s="11">
        <f t="shared" si="3"/>
        <v>0.5069999999999999</v>
      </c>
      <c r="K5" s="12">
        <v>0.2</v>
      </c>
      <c r="L5" s="13"/>
      <c r="M5" s="13"/>
      <c r="N5" s="6" t="s">
        <v>21</v>
      </c>
      <c r="O5" s="14" t="s">
        <v>43</v>
      </c>
    </row>
    <row r="6" spans="1:15" x14ac:dyDescent="0.3">
      <c r="A6" s="8" t="str">
        <f t="shared" si="0"/>
        <v>12</v>
      </c>
      <c r="B6" s="9" t="s">
        <v>22</v>
      </c>
      <c r="C6" s="9" t="s">
        <v>23</v>
      </c>
      <c r="D6" s="9">
        <v>8535</v>
      </c>
      <c r="E6" s="10">
        <v>43592</v>
      </c>
      <c r="F6" s="10">
        <v>45291</v>
      </c>
      <c r="G6" s="11">
        <v>0.42</v>
      </c>
      <c r="H6" s="11">
        <f t="shared" si="1"/>
        <v>0.66243902439024382</v>
      </c>
      <c r="I6" s="11">
        <f t="shared" si="2"/>
        <v>0.61048780487804843</v>
      </c>
      <c r="J6" s="11">
        <f t="shared" si="3"/>
        <v>0.52390243902439027</v>
      </c>
      <c r="K6" s="12">
        <v>0.18</v>
      </c>
      <c r="L6" s="13"/>
      <c r="M6" s="13"/>
      <c r="N6" s="6" t="s">
        <v>24</v>
      </c>
      <c r="O6" s="14" t="s">
        <v>18</v>
      </c>
    </row>
    <row r="7" spans="1:15" x14ac:dyDescent="0.3">
      <c r="A7" s="8" t="str">
        <f t="shared" si="0"/>
        <v>12</v>
      </c>
      <c r="B7" s="9" t="s">
        <v>22</v>
      </c>
      <c r="C7" s="9" t="s">
        <v>23</v>
      </c>
      <c r="D7" s="9">
        <v>8535</v>
      </c>
      <c r="E7" s="10">
        <v>45292</v>
      </c>
      <c r="F7" s="14"/>
      <c r="G7" s="11">
        <v>0.42</v>
      </c>
      <c r="H7" s="11">
        <f t="shared" si="1"/>
        <v>0.70399999999999996</v>
      </c>
      <c r="I7" s="11">
        <f t="shared" si="2"/>
        <v>0.65074999999999972</v>
      </c>
      <c r="J7" s="11">
        <f t="shared" si="3"/>
        <v>0.56200000000000006</v>
      </c>
      <c r="K7" s="12">
        <v>0.2</v>
      </c>
      <c r="L7" s="13"/>
      <c r="M7" s="13"/>
      <c r="N7" s="6" t="s">
        <v>24</v>
      </c>
      <c r="O7" s="14" t="s">
        <v>43</v>
      </c>
    </row>
    <row r="8" spans="1:15" x14ac:dyDescent="0.3">
      <c r="A8" s="8" t="str">
        <f t="shared" si="0"/>
        <v>12</v>
      </c>
      <c r="B8" s="9" t="s">
        <v>25</v>
      </c>
      <c r="C8" s="9" t="s">
        <v>26</v>
      </c>
      <c r="D8" s="9">
        <v>8536</v>
      </c>
      <c r="E8" s="10">
        <v>43592</v>
      </c>
      <c r="F8" s="10">
        <v>45291</v>
      </c>
      <c r="G8" s="11">
        <v>0.38</v>
      </c>
      <c r="H8" s="11">
        <f t="shared" si="1"/>
        <v>0.61560975609756063</v>
      </c>
      <c r="I8" s="11">
        <f t="shared" si="2"/>
        <v>0.56512195121951203</v>
      </c>
      <c r="J8" s="11">
        <f t="shared" si="3"/>
        <v>0.48097560975609732</v>
      </c>
      <c r="K8" s="12">
        <v>0.18</v>
      </c>
      <c r="L8" s="13"/>
      <c r="M8" s="13"/>
      <c r="N8" s="6" t="s">
        <v>27</v>
      </c>
      <c r="O8" s="14" t="s">
        <v>18</v>
      </c>
    </row>
    <row r="9" spans="1:15" x14ac:dyDescent="0.3">
      <c r="A9" s="8" t="str">
        <f t="shared" si="0"/>
        <v>12</v>
      </c>
      <c r="B9" s="9" t="s">
        <v>25</v>
      </c>
      <c r="C9" s="9" t="s">
        <v>26</v>
      </c>
      <c r="D9" s="9">
        <v>8536</v>
      </c>
      <c r="E9" s="10">
        <v>45292</v>
      </c>
      <c r="F9" s="14"/>
      <c r="G9" s="11">
        <v>0.38</v>
      </c>
      <c r="H9" s="11">
        <f t="shared" si="1"/>
        <v>0.65599999999999969</v>
      </c>
      <c r="I9" s="11">
        <f t="shared" si="2"/>
        <v>0.60424999999999973</v>
      </c>
      <c r="J9" s="11">
        <f t="shared" si="3"/>
        <v>0.51799999999999979</v>
      </c>
      <c r="K9" s="12">
        <v>0.2</v>
      </c>
      <c r="L9" s="13"/>
      <c r="M9" s="13"/>
      <c r="N9" s="6" t="s">
        <v>27</v>
      </c>
      <c r="O9" s="14" t="s">
        <v>43</v>
      </c>
    </row>
    <row r="10" spans="1:15" x14ac:dyDescent="0.3">
      <c r="A10" s="8" t="str">
        <f t="shared" si="0"/>
        <v>12</v>
      </c>
      <c r="B10" s="9" t="s">
        <v>28</v>
      </c>
      <c r="C10" s="9" t="s">
        <v>29</v>
      </c>
      <c r="D10" s="9">
        <v>8538</v>
      </c>
      <c r="E10" s="10">
        <v>43592</v>
      </c>
      <c r="F10" s="10">
        <v>45291</v>
      </c>
      <c r="G10" s="11">
        <v>0.41</v>
      </c>
      <c r="H10" s="11">
        <f t="shared" si="1"/>
        <v>0.65073170731707286</v>
      </c>
      <c r="I10" s="11">
        <f t="shared" si="2"/>
        <v>0.59914634146341439</v>
      </c>
      <c r="J10" s="11">
        <f t="shared" si="3"/>
        <v>0.51317073170731686</v>
      </c>
      <c r="K10" s="12">
        <v>0.18</v>
      </c>
      <c r="L10" s="13"/>
      <c r="M10" s="13"/>
      <c r="N10" s="6" t="s">
        <v>30</v>
      </c>
      <c r="O10" s="14" t="s">
        <v>18</v>
      </c>
    </row>
    <row r="11" spans="1:15" x14ac:dyDescent="0.3">
      <c r="A11" s="8" t="str">
        <f t="shared" si="0"/>
        <v>12</v>
      </c>
      <c r="B11" s="9" t="s">
        <v>28</v>
      </c>
      <c r="C11" s="9" t="s">
        <v>29</v>
      </c>
      <c r="D11" s="9">
        <v>8538</v>
      </c>
      <c r="E11" s="10">
        <v>45292</v>
      </c>
      <c r="F11" s="14"/>
      <c r="G11" s="11">
        <v>0.41</v>
      </c>
      <c r="H11" s="11">
        <f t="shared" si="1"/>
        <v>0.69199999999999973</v>
      </c>
      <c r="I11" s="11">
        <f t="shared" si="2"/>
        <v>0.63912499999999972</v>
      </c>
      <c r="J11" s="11">
        <f t="shared" si="3"/>
        <v>0.55099999999999971</v>
      </c>
      <c r="K11" s="12">
        <v>0.2</v>
      </c>
      <c r="L11" s="13"/>
      <c r="M11" s="13"/>
      <c r="N11" s="6" t="s">
        <v>30</v>
      </c>
      <c r="O11" s="14" t="s">
        <v>43</v>
      </c>
    </row>
    <row r="12" spans="1:15" x14ac:dyDescent="0.3">
      <c r="A12" s="8" t="str">
        <f t="shared" si="0"/>
        <v>12</v>
      </c>
      <c r="B12" s="9" t="s">
        <v>31</v>
      </c>
      <c r="C12" s="9" t="s">
        <v>32</v>
      </c>
      <c r="D12" s="9">
        <v>74130000</v>
      </c>
      <c r="E12" s="10">
        <v>43592</v>
      </c>
      <c r="F12" s="10">
        <v>45291</v>
      </c>
      <c r="G12" s="11">
        <v>0.39</v>
      </c>
      <c r="H12" s="11">
        <f t="shared" si="1"/>
        <v>0.6273170731707316</v>
      </c>
      <c r="I12" s="11">
        <f t="shared" si="2"/>
        <v>0.57646341463414608</v>
      </c>
      <c r="J12" s="11">
        <f t="shared" si="3"/>
        <v>0.49170731707317072</v>
      </c>
      <c r="K12" s="12">
        <v>0.18</v>
      </c>
      <c r="L12" s="13"/>
      <c r="M12" s="13"/>
      <c r="N12" s="6" t="s">
        <v>33</v>
      </c>
      <c r="O12" s="14" t="s">
        <v>18</v>
      </c>
    </row>
    <row r="13" spans="1:15" x14ac:dyDescent="0.3">
      <c r="A13" s="8" t="str">
        <f t="shared" si="0"/>
        <v>12</v>
      </c>
      <c r="B13" s="9" t="s">
        <v>31</v>
      </c>
      <c r="C13" s="9" t="s">
        <v>32</v>
      </c>
      <c r="D13" s="9">
        <v>74130000</v>
      </c>
      <c r="E13" s="10">
        <v>45292</v>
      </c>
      <c r="F13" s="14"/>
      <c r="G13" s="11">
        <v>0.39</v>
      </c>
      <c r="H13" s="11">
        <f t="shared" si="1"/>
        <v>0.66799999999999993</v>
      </c>
      <c r="I13" s="11">
        <f t="shared" si="2"/>
        <v>0.61587499999999995</v>
      </c>
      <c r="J13" s="11">
        <f t="shared" si="3"/>
        <v>0.52899999999999991</v>
      </c>
      <c r="K13" s="12">
        <v>0.2</v>
      </c>
      <c r="L13" s="13"/>
      <c r="M13" s="13"/>
      <c r="N13" s="6" t="s">
        <v>33</v>
      </c>
      <c r="O13" s="14" t="s">
        <v>43</v>
      </c>
    </row>
    <row r="14" spans="1:15" x14ac:dyDescent="0.3">
      <c r="A14" s="8" t="str">
        <f t="shared" si="0"/>
        <v>12</v>
      </c>
      <c r="B14" s="9" t="s">
        <v>34</v>
      </c>
      <c r="C14" s="9" t="s">
        <v>35</v>
      </c>
      <c r="D14" s="9">
        <v>7605</v>
      </c>
      <c r="E14" s="10">
        <v>43592</v>
      </c>
      <c r="F14" s="17">
        <v>45291</v>
      </c>
      <c r="G14" s="11">
        <v>0.36</v>
      </c>
      <c r="H14" s="11">
        <f t="shared" si="1"/>
        <v>0.59219512195121915</v>
      </c>
      <c r="I14" s="11">
        <f t="shared" si="2"/>
        <v>0.5424390243902435</v>
      </c>
      <c r="J14" s="11">
        <f t="shared" si="3"/>
        <v>0.45951219512195096</v>
      </c>
      <c r="K14" s="12">
        <v>0.18</v>
      </c>
      <c r="L14" s="13"/>
      <c r="M14" s="13"/>
      <c r="N14" s="6" t="s">
        <v>36</v>
      </c>
      <c r="O14" s="14" t="s">
        <v>18</v>
      </c>
    </row>
    <row r="15" spans="1:15" x14ac:dyDescent="0.3">
      <c r="A15" s="8" t="str">
        <f t="shared" si="0"/>
        <v>12</v>
      </c>
      <c r="B15" s="9" t="s">
        <v>34</v>
      </c>
      <c r="C15" s="9" t="s">
        <v>35</v>
      </c>
      <c r="D15" s="9">
        <v>7605</v>
      </c>
      <c r="E15" s="10">
        <v>45292</v>
      </c>
      <c r="F15" s="13"/>
      <c r="G15" s="11">
        <v>0.36</v>
      </c>
      <c r="H15" s="11">
        <f t="shared" si="1"/>
        <v>0.63199999999999967</v>
      </c>
      <c r="I15" s="11">
        <f t="shared" si="2"/>
        <v>0.58099999999999952</v>
      </c>
      <c r="J15" s="11">
        <f t="shared" si="3"/>
        <v>0.49599999999999977</v>
      </c>
      <c r="K15" s="12">
        <v>0.2</v>
      </c>
      <c r="L15" s="13"/>
      <c r="M15" s="13"/>
      <c r="N15" s="6" t="s">
        <v>36</v>
      </c>
      <c r="O15" s="14" t="s">
        <v>43</v>
      </c>
    </row>
    <row r="16" spans="1:15" x14ac:dyDescent="0.3">
      <c r="A16" s="8" t="str">
        <f t="shared" si="0"/>
        <v>12</v>
      </c>
      <c r="B16" s="9" t="s">
        <v>34</v>
      </c>
      <c r="C16" s="9" t="s">
        <v>35</v>
      </c>
      <c r="D16" s="9">
        <v>7614</v>
      </c>
      <c r="E16" s="10">
        <v>43592</v>
      </c>
      <c r="F16" s="17">
        <v>45291</v>
      </c>
      <c r="G16" s="11">
        <v>0.36</v>
      </c>
      <c r="H16" s="11">
        <f t="shared" si="1"/>
        <v>0.59219512195121915</v>
      </c>
      <c r="I16" s="11">
        <f t="shared" si="2"/>
        <v>0.5424390243902435</v>
      </c>
      <c r="J16" s="11">
        <f t="shared" si="3"/>
        <v>0.45951219512195096</v>
      </c>
      <c r="K16" s="12">
        <v>0.18</v>
      </c>
      <c r="L16" s="13"/>
      <c r="M16" s="13"/>
      <c r="N16" s="6" t="s">
        <v>36</v>
      </c>
      <c r="O16" s="14" t="s">
        <v>18</v>
      </c>
    </row>
    <row r="17" spans="1:15" x14ac:dyDescent="0.3">
      <c r="A17" s="8" t="str">
        <f t="shared" si="0"/>
        <v>12</v>
      </c>
      <c r="B17" s="9" t="s">
        <v>34</v>
      </c>
      <c r="C17" s="9" t="s">
        <v>35</v>
      </c>
      <c r="D17" s="9">
        <v>7614</v>
      </c>
      <c r="E17" s="10">
        <v>45292</v>
      </c>
      <c r="F17" s="13"/>
      <c r="G17" s="11">
        <v>0.36</v>
      </c>
      <c r="H17" s="11">
        <f t="shared" si="1"/>
        <v>0.63199999999999967</v>
      </c>
      <c r="I17" s="11">
        <f t="shared" si="2"/>
        <v>0.58099999999999952</v>
      </c>
      <c r="J17" s="11">
        <f t="shared" si="3"/>
        <v>0.49599999999999977</v>
      </c>
      <c r="K17" s="12">
        <v>0.2</v>
      </c>
      <c r="L17" s="13"/>
      <c r="M17" s="13"/>
      <c r="N17" s="6" t="s">
        <v>36</v>
      </c>
      <c r="O17" s="14" t="s">
        <v>43</v>
      </c>
    </row>
    <row r="18" spans="1:15" x14ac:dyDescent="0.3">
      <c r="A18" s="8" t="str">
        <f t="shared" si="0"/>
        <v>12</v>
      </c>
      <c r="B18" s="9" t="s">
        <v>34</v>
      </c>
      <c r="C18" s="9" t="s">
        <v>35</v>
      </c>
      <c r="D18" s="9">
        <v>8544</v>
      </c>
      <c r="E18" s="10">
        <v>43592</v>
      </c>
      <c r="F18" s="17">
        <v>45291</v>
      </c>
      <c r="G18" s="11">
        <v>0.36</v>
      </c>
      <c r="H18" s="11">
        <f t="shared" si="1"/>
        <v>0.59219512195121915</v>
      </c>
      <c r="I18" s="11">
        <f t="shared" si="2"/>
        <v>0.5424390243902435</v>
      </c>
      <c r="J18" s="11">
        <f t="shared" si="3"/>
        <v>0.45951219512195096</v>
      </c>
      <c r="K18" s="12">
        <v>0.18</v>
      </c>
      <c r="L18" s="13"/>
      <c r="M18" s="13"/>
      <c r="N18" s="6" t="s">
        <v>36</v>
      </c>
      <c r="O18" s="14" t="s">
        <v>18</v>
      </c>
    </row>
    <row r="19" spans="1:15" x14ac:dyDescent="0.3">
      <c r="A19" s="8" t="str">
        <f t="shared" si="0"/>
        <v>12</v>
      </c>
      <c r="B19" s="9" t="s">
        <v>34</v>
      </c>
      <c r="C19" s="9" t="s">
        <v>35</v>
      </c>
      <c r="D19" s="9">
        <v>8544</v>
      </c>
      <c r="E19" s="10">
        <v>45292</v>
      </c>
      <c r="F19" s="13"/>
      <c r="G19" s="11">
        <v>0.36</v>
      </c>
      <c r="H19" s="11">
        <f t="shared" si="1"/>
        <v>0.63199999999999967</v>
      </c>
      <c r="I19" s="11">
        <f t="shared" si="2"/>
        <v>0.58099999999999952</v>
      </c>
      <c r="J19" s="11">
        <f t="shared" si="3"/>
        <v>0.49599999999999977</v>
      </c>
      <c r="K19" s="12">
        <v>0.2</v>
      </c>
      <c r="L19" s="13"/>
      <c r="M19" s="13"/>
      <c r="N19" s="6" t="s">
        <v>36</v>
      </c>
      <c r="O19" s="14" t="s">
        <v>43</v>
      </c>
    </row>
    <row r="20" spans="1:15" x14ac:dyDescent="0.3">
      <c r="A20" s="8" t="str">
        <f t="shared" si="0"/>
        <v>12</v>
      </c>
      <c r="B20" s="9" t="s">
        <v>37</v>
      </c>
      <c r="C20" s="9" t="s">
        <v>38</v>
      </c>
      <c r="D20" s="9">
        <v>8546</v>
      </c>
      <c r="E20" s="10">
        <v>43592</v>
      </c>
      <c r="F20" s="17">
        <v>45291</v>
      </c>
      <c r="G20" s="11">
        <v>0.46</v>
      </c>
      <c r="H20" s="11">
        <f t="shared" si="1"/>
        <v>0.70926829268292657</v>
      </c>
      <c r="I20" s="11">
        <f t="shared" si="2"/>
        <v>0.65585365853658506</v>
      </c>
      <c r="J20" s="11">
        <f t="shared" si="3"/>
        <v>0.56682926829268276</v>
      </c>
      <c r="K20" s="12">
        <v>0.18</v>
      </c>
      <c r="L20" s="13"/>
      <c r="M20" s="13"/>
      <c r="N20" s="6" t="s">
        <v>39</v>
      </c>
      <c r="O20" s="14" t="s">
        <v>18</v>
      </c>
    </row>
    <row r="21" spans="1:15" x14ac:dyDescent="0.3">
      <c r="A21" s="8" t="str">
        <f t="shared" si="0"/>
        <v>12</v>
      </c>
      <c r="B21" s="9" t="s">
        <v>37</v>
      </c>
      <c r="C21" s="9" t="s">
        <v>38</v>
      </c>
      <c r="D21" s="9">
        <v>8546</v>
      </c>
      <c r="E21" s="10">
        <v>45292</v>
      </c>
      <c r="F21" s="13"/>
      <c r="G21" s="11">
        <v>0.46</v>
      </c>
      <c r="H21" s="11">
        <f t="shared" si="1"/>
        <v>0.75199999999999978</v>
      </c>
      <c r="I21" s="11">
        <f t="shared" si="2"/>
        <v>0.6972499999999997</v>
      </c>
      <c r="J21" s="11">
        <f t="shared" si="3"/>
        <v>0.60599999999999987</v>
      </c>
      <c r="K21" s="12">
        <v>0.2</v>
      </c>
      <c r="L21" s="13"/>
      <c r="M21" s="13"/>
      <c r="N21" s="6" t="s">
        <v>39</v>
      </c>
      <c r="O21" s="14" t="s">
        <v>43</v>
      </c>
    </row>
    <row r="22" spans="1:15" x14ac:dyDescent="0.3">
      <c r="A22" s="8" t="str">
        <f t="shared" si="0"/>
        <v>12</v>
      </c>
      <c r="B22" s="9" t="s">
        <v>40</v>
      </c>
      <c r="C22" s="9" t="s">
        <v>41</v>
      </c>
      <c r="D22" s="9">
        <v>8547</v>
      </c>
      <c r="E22" s="10">
        <v>43592</v>
      </c>
      <c r="F22" s="17">
        <v>45291</v>
      </c>
      <c r="G22" s="11">
        <v>0.38</v>
      </c>
      <c r="H22" s="11">
        <f t="shared" si="1"/>
        <v>0.61560975609756063</v>
      </c>
      <c r="I22" s="11">
        <f t="shared" si="2"/>
        <v>0.56512195121951203</v>
      </c>
      <c r="J22" s="11">
        <f t="shared" si="3"/>
        <v>0.48097560975609732</v>
      </c>
      <c r="K22" s="12">
        <v>0.18</v>
      </c>
      <c r="L22" s="13"/>
      <c r="M22" s="13"/>
      <c r="N22" s="6" t="s">
        <v>42</v>
      </c>
      <c r="O22" s="14" t="s">
        <v>18</v>
      </c>
    </row>
    <row r="23" spans="1:15" x14ac:dyDescent="0.3">
      <c r="A23" s="8" t="str">
        <f t="shared" si="0"/>
        <v>12</v>
      </c>
      <c r="B23" s="9" t="s">
        <v>40</v>
      </c>
      <c r="C23" s="9" t="s">
        <v>41</v>
      </c>
      <c r="D23" s="9">
        <v>8547</v>
      </c>
      <c r="E23" s="10">
        <v>45292</v>
      </c>
      <c r="F23" s="13"/>
      <c r="G23" s="11">
        <v>0.38</v>
      </c>
      <c r="H23" s="11">
        <f t="shared" si="1"/>
        <v>0.65599999999999969</v>
      </c>
      <c r="I23" s="11">
        <f t="shared" si="2"/>
        <v>0.60424999999999973</v>
      </c>
      <c r="J23" s="11">
        <f t="shared" si="3"/>
        <v>0.51799999999999979</v>
      </c>
      <c r="K23" s="12">
        <v>0.2</v>
      </c>
      <c r="L23" s="13"/>
      <c r="M23" s="13"/>
      <c r="N23" s="6" t="s">
        <v>42</v>
      </c>
      <c r="O23" s="14" t="s">
        <v>43</v>
      </c>
    </row>
  </sheetData>
  <sheetProtection password="F150" sheet="1" objects="1" scenarios="1"/>
  <sortState ref="A2:O23">
    <sortCondition ref="B2:B23"/>
    <sortCondition ref="C2:C23"/>
    <sortCondition ref="D2:D23"/>
    <sortCondition ref="E2:E23"/>
  </sortState>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Mat_Eletricos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Antonio de Arruda</dc:creator>
  <cp:lastModifiedBy>Joselinda Goncalves Machado</cp:lastModifiedBy>
  <dcterms:created xsi:type="dcterms:W3CDTF">2019-07-04T13:52:57Z</dcterms:created>
  <dcterms:modified xsi:type="dcterms:W3CDTF">2025-02-27T12:19:51Z</dcterms:modified>
</cp:coreProperties>
</file>