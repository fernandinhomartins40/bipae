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10" windowWidth="19420" windowHeight="11020"/>
  </bookViews>
  <sheets>
    <sheet name="Bebidas" sheetId="1" r:id="rId1"/>
  </sheets>
  <calcPr calcId="145621"/>
</workbook>
</file>

<file path=xl/calcChain.xml><?xml version="1.0" encoding="utf-8"?>
<calcChain xmlns="http://schemas.openxmlformats.org/spreadsheetml/2006/main">
  <c r="A9" i="1" l="1"/>
  <c r="H9" i="1"/>
  <c r="I9" i="1"/>
  <c r="J9" i="1"/>
  <c r="A7" i="1"/>
  <c r="H7" i="1"/>
  <c r="I7" i="1"/>
  <c r="J7" i="1"/>
  <c r="J40" i="1" l="1"/>
  <c r="I40" i="1"/>
  <c r="H40" i="1"/>
  <c r="A40" i="1"/>
  <c r="J39" i="1"/>
  <c r="I39" i="1"/>
  <c r="H39" i="1"/>
  <c r="A39" i="1"/>
  <c r="J38" i="1"/>
  <c r="I38" i="1"/>
  <c r="H38" i="1"/>
  <c r="A38" i="1"/>
  <c r="J37" i="1"/>
  <c r="I37" i="1"/>
  <c r="H37" i="1"/>
  <c r="A37" i="1"/>
  <c r="J36" i="1"/>
  <c r="I36" i="1"/>
  <c r="H36" i="1"/>
  <c r="A36" i="1"/>
  <c r="J35" i="1"/>
  <c r="I35" i="1"/>
  <c r="H35" i="1"/>
  <c r="A35" i="1"/>
  <c r="J34" i="1"/>
  <c r="I34" i="1"/>
  <c r="H34" i="1"/>
  <c r="A34" i="1"/>
  <c r="J33" i="1"/>
  <c r="I33" i="1"/>
  <c r="H33" i="1"/>
  <c r="A33" i="1"/>
  <c r="J32" i="1"/>
  <c r="I32" i="1"/>
  <c r="H32" i="1"/>
  <c r="A32" i="1"/>
  <c r="J31" i="1"/>
  <c r="I31" i="1"/>
  <c r="H31" i="1"/>
  <c r="A31" i="1"/>
  <c r="J30" i="1"/>
  <c r="I30" i="1"/>
  <c r="H30" i="1"/>
  <c r="A30" i="1"/>
  <c r="J29" i="1"/>
  <c r="I29" i="1"/>
  <c r="H29" i="1"/>
  <c r="A29" i="1"/>
  <c r="J28" i="1"/>
  <c r="I28" i="1"/>
  <c r="H28" i="1"/>
  <c r="A28" i="1"/>
  <c r="J27" i="1"/>
  <c r="I27" i="1"/>
  <c r="H27" i="1"/>
  <c r="A27" i="1"/>
  <c r="J26" i="1"/>
  <c r="I26" i="1"/>
  <c r="H26" i="1"/>
  <c r="A26" i="1"/>
  <c r="J25" i="1"/>
  <c r="I25" i="1"/>
  <c r="H25" i="1"/>
  <c r="A25" i="1"/>
  <c r="J24" i="1"/>
  <c r="I24" i="1"/>
  <c r="H24" i="1"/>
  <c r="A24" i="1"/>
  <c r="J23" i="1"/>
  <c r="I23" i="1"/>
  <c r="H23" i="1"/>
  <c r="A23" i="1"/>
  <c r="J22" i="1"/>
  <c r="I22" i="1"/>
  <c r="H22" i="1"/>
  <c r="A22" i="1"/>
  <c r="J21" i="1"/>
  <c r="I21" i="1"/>
  <c r="H21" i="1"/>
  <c r="A21" i="1"/>
  <c r="J20" i="1"/>
  <c r="I20" i="1"/>
  <c r="H20" i="1"/>
  <c r="A20" i="1"/>
  <c r="J19" i="1"/>
  <c r="I19" i="1"/>
  <c r="H19" i="1"/>
  <c r="A19" i="1"/>
  <c r="J18" i="1"/>
  <c r="I18" i="1"/>
  <c r="H18" i="1"/>
  <c r="A18" i="1"/>
  <c r="J17" i="1"/>
  <c r="I17" i="1"/>
  <c r="H17" i="1"/>
  <c r="A17" i="1"/>
  <c r="J16" i="1"/>
  <c r="I16" i="1"/>
  <c r="H16" i="1"/>
  <c r="A16" i="1"/>
  <c r="J15" i="1"/>
  <c r="I15" i="1"/>
  <c r="H15" i="1"/>
  <c r="A15" i="1"/>
  <c r="J14" i="1"/>
  <c r="I14" i="1"/>
  <c r="H14" i="1"/>
  <c r="A14" i="1"/>
  <c r="J13" i="1"/>
  <c r="I13" i="1"/>
  <c r="H13" i="1"/>
  <c r="A13" i="1"/>
  <c r="J12" i="1"/>
  <c r="I12" i="1"/>
  <c r="H12" i="1"/>
  <c r="A12" i="1"/>
  <c r="J11" i="1"/>
  <c r="I11" i="1"/>
  <c r="H11" i="1"/>
  <c r="A11" i="1"/>
  <c r="J10" i="1"/>
  <c r="I10" i="1"/>
  <c r="H10" i="1"/>
  <c r="A10" i="1"/>
  <c r="J8" i="1"/>
  <c r="I8" i="1"/>
  <c r="H8" i="1"/>
  <c r="A8" i="1"/>
  <c r="J6" i="1"/>
  <c r="I6" i="1"/>
  <c r="H6" i="1"/>
  <c r="A6" i="1"/>
  <c r="J5" i="1"/>
  <c r="I5" i="1"/>
  <c r="H5" i="1"/>
  <c r="A5" i="1"/>
  <c r="J4" i="1"/>
  <c r="I4" i="1"/>
  <c r="H4" i="1"/>
  <c r="A4" i="1"/>
  <c r="J3" i="1"/>
  <c r="I3" i="1"/>
  <c r="H3" i="1"/>
  <c r="A3" i="1"/>
  <c r="J2" i="1"/>
  <c r="I2" i="1"/>
  <c r="H2" i="1"/>
  <c r="A2" i="1"/>
</calcChain>
</file>

<file path=xl/sharedStrings.xml><?xml version="1.0" encoding="utf-8"?>
<sst xmlns="http://schemas.openxmlformats.org/spreadsheetml/2006/main" count="181" uniqueCount="97">
  <si>
    <t>Tabela CEST</t>
  </si>
  <si>
    <t>ITEM</t>
  </si>
  <si>
    <t>CEST</t>
  </si>
  <si>
    <t>NCM/SH</t>
  </si>
  <si>
    <t>Vigência inicial</t>
  </si>
  <si>
    <t>Vigência final</t>
  </si>
  <si>
    <t>MVA  Original</t>
  </si>
  <si>
    <t>MVA Aliq 4%</t>
  </si>
  <si>
    <t>MVA Aliq 7%</t>
  </si>
  <si>
    <t>MVA Aliq 12%</t>
  </si>
  <si>
    <t>Aliq Interna</t>
  </si>
  <si>
    <t>Funcep</t>
  </si>
  <si>
    <t>Pauta Fiscal</t>
  </si>
  <si>
    <t>DESCRIÇÃO</t>
  </si>
  <si>
    <t>Legislação</t>
  </si>
  <si>
    <t>1.0</t>
  </si>
  <si>
    <t>02.001.00</t>
  </si>
  <si>
    <t>2205</t>
  </si>
  <si>
    <t>Aperitivos, amargos, bitter e similares</t>
  </si>
  <si>
    <t>DECRETO ICMS/PB Nº 39.158</t>
  </si>
  <si>
    <t>2.0</t>
  </si>
  <si>
    <t>02.002.00</t>
  </si>
  <si>
    <t>Batida e similares</t>
  </si>
  <si>
    <t>3.0</t>
  </si>
  <si>
    <t>02.003.00</t>
  </si>
  <si>
    <t>Bebida ice</t>
  </si>
  <si>
    <t>4.0</t>
  </si>
  <si>
    <t>02.004.00</t>
  </si>
  <si>
    <t>Cachaça e aguardentes</t>
  </si>
  <si>
    <t>5.0</t>
  </si>
  <si>
    <t>02.005.00</t>
  </si>
  <si>
    <t>Catuaba e similares</t>
  </si>
  <si>
    <t>6.0</t>
  </si>
  <si>
    <t>02.006.00</t>
  </si>
  <si>
    <t>Conhaque, brandy e similares</t>
  </si>
  <si>
    <t>7.0</t>
  </si>
  <si>
    <t>02.007.00</t>
  </si>
  <si>
    <t>Cooler</t>
  </si>
  <si>
    <t>8.0</t>
  </si>
  <si>
    <t>02.008.00</t>
  </si>
  <si>
    <t>Gim (gin) e genebra</t>
  </si>
  <si>
    <t>9.0</t>
  </si>
  <si>
    <t>02.009.00</t>
  </si>
  <si>
    <t>Jurubeba e similares</t>
  </si>
  <si>
    <t>10.0</t>
  </si>
  <si>
    <t>02.010.00</t>
  </si>
  <si>
    <t>Licores e similares</t>
  </si>
  <si>
    <t>11.0</t>
  </si>
  <si>
    <t>02.011.00</t>
  </si>
  <si>
    <t>Pisco</t>
  </si>
  <si>
    <t>12.0</t>
  </si>
  <si>
    <t>02.012.00</t>
  </si>
  <si>
    <t>Rum</t>
  </si>
  <si>
    <t>13.0</t>
  </si>
  <si>
    <t>02.013.00</t>
  </si>
  <si>
    <t>Saquê</t>
  </si>
  <si>
    <t>14.0</t>
  </si>
  <si>
    <t>02.014.00</t>
  </si>
  <si>
    <t>Steinhaeger</t>
  </si>
  <si>
    <t>15.0</t>
  </si>
  <si>
    <t>02.015.00</t>
  </si>
  <si>
    <t>Tequila</t>
  </si>
  <si>
    <t>16.0</t>
  </si>
  <si>
    <t>02.016.00</t>
  </si>
  <si>
    <t>Uísque</t>
  </si>
  <si>
    <t>17.0</t>
  </si>
  <si>
    <t>02.017.00</t>
  </si>
  <si>
    <t>Vermute e similares</t>
  </si>
  <si>
    <t>18.0</t>
  </si>
  <si>
    <t>02.018.00</t>
  </si>
  <si>
    <t>Vodka</t>
  </si>
  <si>
    <t>19.0</t>
  </si>
  <si>
    <t>02.019.00</t>
  </si>
  <si>
    <t>Derivados de vodka</t>
  </si>
  <si>
    <t>20.0</t>
  </si>
  <si>
    <t>02.020.00</t>
  </si>
  <si>
    <t>Arak</t>
  </si>
  <si>
    <t>21.0</t>
  </si>
  <si>
    <t>02.021.00</t>
  </si>
  <si>
    <t>Aguardente vínica / grappa</t>
  </si>
  <si>
    <t>22.0</t>
  </si>
  <si>
    <t>02.022.00</t>
  </si>
  <si>
    <t>Sidra e similares</t>
  </si>
  <si>
    <t>23.0</t>
  </si>
  <si>
    <t>02.023.00</t>
  </si>
  <si>
    <t>Sangrias e coquetéis</t>
  </si>
  <si>
    <t>24.0</t>
  </si>
  <si>
    <t>02.024.00</t>
  </si>
  <si>
    <t>2204</t>
  </si>
  <si>
    <t>Vinhos de uvas frescas, incluindo os vinhos enriquecidos com álcool; mostos de uvas.</t>
  </si>
  <si>
    <t>999.0</t>
  </si>
  <si>
    <t>02.999.00</t>
  </si>
  <si>
    <t>Outras bebidas alcoólicas não especificadas nos itens anteriores</t>
  </si>
  <si>
    <t>2206</t>
  </si>
  <si>
    <t>2207</t>
  </si>
  <si>
    <t>2208</t>
  </si>
  <si>
    <t>DECRETO ICMS/PB Nº 44.681/23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</si>
</sst>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justify" vertical="center" wrapText="1"/>
    </xf>
    <xf numFmtId="14" fontId="2" fillId="2" borderId="2" xfId="0" applyNumberFormat="1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10" fontId="2" fillId="0" borderId="1" xfId="0" applyNumberFormat="1" applyFont="1" applyBorder="1"/>
    <xf numFmtId="9" fontId="2" fillId="0" borderId="1" xfId="0" applyNumberFormat="1" applyFont="1" applyBorder="1"/>
    <xf numFmtId="10" fontId="2" fillId="0" borderId="2" xfId="0" applyNumberFormat="1" applyFont="1" applyBorder="1"/>
    <xf numFmtId="0" fontId="2" fillId="0" borderId="1" xfId="0" applyFont="1" applyBorder="1"/>
    <xf numFmtId="0" fontId="2" fillId="2" borderId="1" xfId="0" applyFont="1" applyFill="1" applyBorder="1" applyAlignment="1">
      <alignment horizontal="justify" vertical="center" wrapText="1"/>
    </xf>
    <xf numFmtId="14" fontId="2" fillId="2" borderId="1" xfId="0" applyNumberFormat="1" applyFont="1" applyFill="1" applyBorder="1" applyAlignment="1">
      <alignment horizontal="justify" vertical="center" wrapText="1"/>
    </xf>
    <xf numFmtId="0" fontId="2" fillId="0" borderId="0" xfId="0" applyFont="1" applyAlignment="1">
      <alignment horizontal="center"/>
    </xf>
    <xf numFmtId="49" fontId="2" fillId="0" borderId="0" xfId="0" applyNumberFormat="1" applyFont="1"/>
    <xf numFmtId="0" fontId="3" fillId="0" borderId="0" xfId="0" applyFont="1"/>
    <xf numFmtId="9" fontId="2" fillId="0" borderId="0" xfId="0" applyNumberFormat="1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abSelected="1" zoomScale="90" zoomScaleNormal="90" workbookViewId="0">
      <pane ySplit="1" topLeftCell="A2" activePane="bottomLeft" state="frozen"/>
      <selection pane="bottomLeft" activeCell="R11" sqref="R11"/>
    </sheetView>
  </sheetViews>
  <sheetFormatPr defaultColWidth="9.1796875" defaultRowHeight="12" x14ac:dyDescent="0.3"/>
  <cols>
    <col min="1" max="1" width="5.7265625" style="7" bestFit="1" customWidth="1"/>
    <col min="2" max="2" width="4.81640625" style="18" bestFit="1" customWidth="1"/>
    <col min="3" max="3" width="9.1796875" style="18"/>
    <col min="4" max="4" width="8.7265625" style="19" bestFit="1" customWidth="1"/>
    <col min="5" max="5" width="9.54296875" style="7" customWidth="1"/>
    <col min="6" max="6" width="9" style="7" customWidth="1"/>
    <col min="7" max="7" width="6.54296875" style="7" bestFit="1" customWidth="1"/>
    <col min="8" max="9" width="6.26953125" style="7" bestFit="1" customWidth="1"/>
    <col min="10" max="10" width="7.54296875" style="7" bestFit="1" customWidth="1"/>
    <col min="11" max="11" width="6.1796875" style="21" bestFit="1" customWidth="1"/>
    <col min="12" max="12" width="6" style="21" bestFit="1" customWidth="1"/>
    <col min="13" max="13" width="6" style="7" customWidth="1"/>
    <col min="14" max="14" width="38.54296875" style="22" customWidth="1"/>
    <col min="15" max="15" width="24.7265625" style="7" bestFit="1" customWidth="1"/>
    <col min="16" max="16384" width="9.1796875" style="7"/>
  </cols>
  <sheetData>
    <row r="1" spans="1:15" ht="24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5" t="s">
        <v>11</v>
      </c>
      <c r="M1" s="1" t="s">
        <v>12</v>
      </c>
      <c r="N1" s="6" t="s">
        <v>13</v>
      </c>
      <c r="O1" s="1" t="s">
        <v>14</v>
      </c>
    </row>
    <row r="2" spans="1:15" x14ac:dyDescent="0.3">
      <c r="A2" s="8" t="str">
        <f>LEFT(C2,2)</f>
        <v>02</v>
      </c>
      <c r="B2" s="2" t="s">
        <v>15</v>
      </c>
      <c r="C2" s="2" t="s">
        <v>16</v>
      </c>
      <c r="D2" s="9" t="s">
        <v>17</v>
      </c>
      <c r="E2" s="10">
        <v>43592</v>
      </c>
      <c r="F2" s="11"/>
      <c r="G2" s="12">
        <v>0.29039999999999999</v>
      </c>
      <c r="H2" s="12">
        <f>((1+$G2)*(1-4%)/(1-$K2))-1</f>
        <v>0.65171199999999985</v>
      </c>
      <c r="I2" s="12">
        <f>((1+$G2)*(1-7%)/(1-$K2))-1</f>
        <v>0.60009599999999974</v>
      </c>
      <c r="J2" s="12">
        <f>((1+$G2)*(1-12%)/(1-$K2))-1</f>
        <v>0.51406933333333327</v>
      </c>
      <c r="K2" s="13">
        <v>0.25</v>
      </c>
      <c r="L2" s="13">
        <v>0.02</v>
      </c>
      <c r="M2" s="14"/>
      <c r="N2" s="6" t="s">
        <v>18</v>
      </c>
      <c r="O2" s="15" t="s">
        <v>19</v>
      </c>
    </row>
    <row r="3" spans="1:15" x14ac:dyDescent="0.3">
      <c r="A3" s="8" t="str">
        <f t="shared" ref="A3:A40" si="0">LEFT(C3,2)</f>
        <v>02</v>
      </c>
      <c r="B3" s="2" t="s">
        <v>15</v>
      </c>
      <c r="C3" s="2" t="s">
        <v>16</v>
      </c>
      <c r="D3" s="9">
        <v>22089000</v>
      </c>
      <c r="E3" s="10">
        <v>43592</v>
      </c>
      <c r="F3" s="16"/>
      <c r="G3" s="12">
        <v>0.29039999999999999</v>
      </c>
      <c r="H3" s="12">
        <f t="shared" ref="H3:H40" si="1">((1+$G3)*(1-4%)/(1-$K3))-1</f>
        <v>0.65171199999999985</v>
      </c>
      <c r="I3" s="12">
        <f t="shared" ref="I3:I40" si="2">((1+$G3)*(1-7%)/(1-$K3))-1</f>
        <v>0.60009599999999974</v>
      </c>
      <c r="J3" s="12">
        <f t="shared" ref="J3:J40" si="3">((1+$G3)*(1-12%)/(1-$K3))-1</f>
        <v>0.51406933333333327</v>
      </c>
      <c r="K3" s="13">
        <v>0.25</v>
      </c>
      <c r="L3" s="13">
        <v>0.02</v>
      </c>
      <c r="M3" s="12"/>
      <c r="N3" s="6" t="s">
        <v>18</v>
      </c>
      <c r="O3" s="15" t="s">
        <v>19</v>
      </c>
    </row>
    <row r="4" spans="1:15" x14ac:dyDescent="0.3">
      <c r="A4" s="8" t="str">
        <f t="shared" si="0"/>
        <v>02</v>
      </c>
      <c r="B4" s="2" t="s">
        <v>20</v>
      </c>
      <c r="C4" s="2" t="s">
        <v>21</v>
      </c>
      <c r="D4" s="9">
        <v>22089000</v>
      </c>
      <c r="E4" s="10">
        <v>43592</v>
      </c>
      <c r="F4" s="16"/>
      <c r="G4" s="12">
        <v>0.29039999999999999</v>
      </c>
      <c r="H4" s="12">
        <f t="shared" si="1"/>
        <v>0.65171199999999985</v>
      </c>
      <c r="I4" s="12">
        <f t="shared" si="2"/>
        <v>0.60009599999999974</v>
      </c>
      <c r="J4" s="12">
        <f t="shared" si="3"/>
        <v>0.51406933333333327</v>
      </c>
      <c r="K4" s="13">
        <v>0.25</v>
      </c>
      <c r="L4" s="13">
        <v>0.02</v>
      </c>
      <c r="M4" s="12"/>
      <c r="N4" s="6" t="s">
        <v>22</v>
      </c>
      <c r="O4" s="15" t="s">
        <v>19</v>
      </c>
    </row>
    <row r="5" spans="1:15" x14ac:dyDescent="0.3">
      <c r="A5" s="8" t="str">
        <f t="shared" si="0"/>
        <v>02</v>
      </c>
      <c r="B5" s="2" t="s">
        <v>23</v>
      </c>
      <c r="C5" s="2" t="s">
        <v>24</v>
      </c>
      <c r="D5" s="9">
        <v>22089000</v>
      </c>
      <c r="E5" s="10">
        <v>43592</v>
      </c>
      <c r="F5" s="16"/>
      <c r="G5" s="12">
        <v>0.29039999999999999</v>
      </c>
      <c r="H5" s="12">
        <f t="shared" si="1"/>
        <v>0.65171199999999985</v>
      </c>
      <c r="I5" s="12">
        <f t="shared" si="2"/>
        <v>0.60009599999999974</v>
      </c>
      <c r="J5" s="12">
        <f t="shared" si="3"/>
        <v>0.51406933333333327</v>
      </c>
      <c r="K5" s="13">
        <v>0.25</v>
      </c>
      <c r="L5" s="13">
        <v>0.02</v>
      </c>
      <c r="M5" s="12"/>
      <c r="N5" s="6" t="s">
        <v>25</v>
      </c>
      <c r="O5" s="15" t="s">
        <v>19</v>
      </c>
    </row>
    <row r="6" spans="1:15" x14ac:dyDescent="0.3">
      <c r="A6" s="8" t="str">
        <f t="shared" si="0"/>
        <v>02</v>
      </c>
      <c r="B6" s="2" t="s">
        <v>26</v>
      </c>
      <c r="C6" s="2" t="s">
        <v>27</v>
      </c>
      <c r="D6" s="9">
        <v>220720</v>
      </c>
      <c r="E6" s="10">
        <v>43592</v>
      </c>
      <c r="F6" s="17">
        <v>45291</v>
      </c>
      <c r="G6" s="12">
        <v>0.29039999999999999</v>
      </c>
      <c r="H6" s="12">
        <f t="shared" si="1"/>
        <v>0.51071219512195087</v>
      </c>
      <c r="I6" s="12">
        <f t="shared" si="2"/>
        <v>0.46350243902438981</v>
      </c>
      <c r="J6" s="12">
        <f t="shared" si="3"/>
        <v>0.38481951219512167</v>
      </c>
      <c r="K6" s="13">
        <v>0.18</v>
      </c>
      <c r="L6" s="13"/>
      <c r="M6" s="12"/>
      <c r="N6" s="6" t="s">
        <v>28</v>
      </c>
      <c r="O6" s="15" t="s">
        <v>19</v>
      </c>
    </row>
    <row r="7" spans="1:15" x14ac:dyDescent="0.3">
      <c r="A7" s="8" t="str">
        <f t="shared" ref="A7" si="4">LEFT(C7,2)</f>
        <v>02</v>
      </c>
      <c r="B7" s="2" t="s">
        <v>26</v>
      </c>
      <c r="C7" s="2" t="s">
        <v>27</v>
      </c>
      <c r="D7" s="9">
        <v>220720</v>
      </c>
      <c r="E7" s="10">
        <v>45292</v>
      </c>
      <c r="F7" s="16"/>
      <c r="G7" s="12">
        <v>0.29039999999999999</v>
      </c>
      <c r="H7" s="12">
        <f t="shared" si="1"/>
        <v>0.54847999999999986</v>
      </c>
      <c r="I7" s="12">
        <f t="shared" si="2"/>
        <v>0.5000899999999997</v>
      </c>
      <c r="J7" s="12">
        <f t="shared" si="3"/>
        <v>0.41943999999999981</v>
      </c>
      <c r="K7" s="13">
        <v>0.2</v>
      </c>
      <c r="L7" s="13"/>
      <c r="M7" s="12"/>
      <c r="N7" s="6" t="s">
        <v>28</v>
      </c>
      <c r="O7" s="15" t="s">
        <v>96</v>
      </c>
    </row>
    <row r="8" spans="1:15" x14ac:dyDescent="0.3">
      <c r="A8" s="8" t="str">
        <f t="shared" si="0"/>
        <v>02</v>
      </c>
      <c r="B8" s="2" t="s">
        <v>26</v>
      </c>
      <c r="C8" s="2" t="s">
        <v>27</v>
      </c>
      <c r="D8" s="9">
        <v>22084000</v>
      </c>
      <c r="E8" s="10">
        <v>43592</v>
      </c>
      <c r="F8" s="17">
        <v>45291</v>
      </c>
      <c r="G8" s="12">
        <v>0.29039999999999999</v>
      </c>
      <c r="H8" s="12">
        <f t="shared" si="1"/>
        <v>0.51071219512195087</v>
      </c>
      <c r="I8" s="12">
        <f t="shared" si="2"/>
        <v>0.46350243902438981</v>
      </c>
      <c r="J8" s="12">
        <f t="shared" si="3"/>
        <v>0.38481951219512167</v>
      </c>
      <c r="K8" s="13">
        <v>0.18</v>
      </c>
      <c r="L8" s="13"/>
      <c r="M8" s="12"/>
      <c r="N8" s="6" t="s">
        <v>28</v>
      </c>
      <c r="O8" s="15" t="s">
        <v>19</v>
      </c>
    </row>
    <row r="9" spans="1:15" x14ac:dyDescent="0.3">
      <c r="A9" s="8" t="str">
        <f t="shared" ref="A9" si="5">LEFT(C9,2)</f>
        <v>02</v>
      </c>
      <c r="B9" s="2" t="s">
        <v>26</v>
      </c>
      <c r="C9" s="2" t="s">
        <v>27</v>
      </c>
      <c r="D9" s="9">
        <v>22084000</v>
      </c>
      <c r="E9" s="10">
        <v>45292</v>
      </c>
      <c r="F9" s="16"/>
      <c r="G9" s="12">
        <v>0.29039999999999999</v>
      </c>
      <c r="H9" s="12">
        <f t="shared" si="1"/>
        <v>0.54847999999999986</v>
      </c>
      <c r="I9" s="12">
        <f t="shared" si="2"/>
        <v>0.5000899999999997</v>
      </c>
      <c r="J9" s="12">
        <f t="shared" si="3"/>
        <v>0.41943999999999981</v>
      </c>
      <c r="K9" s="13">
        <v>0.2</v>
      </c>
      <c r="L9" s="13"/>
      <c r="M9" s="12"/>
      <c r="N9" s="6" t="s">
        <v>28</v>
      </c>
      <c r="O9" s="15" t="s">
        <v>96</v>
      </c>
    </row>
    <row r="10" spans="1:15" x14ac:dyDescent="0.3">
      <c r="A10" s="8" t="str">
        <f t="shared" si="0"/>
        <v>02</v>
      </c>
      <c r="B10" s="2" t="s">
        <v>29</v>
      </c>
      <c r="C10" s="2" t="s">
        <v>30</v>
      </c>
      <c r="D10" s="9" t="s">
        <v>17</v>
      </c>
      <c r="E10" s="10">
        <v>43592</v>
      </c>
      <c r="F10" s="16"/>
      <c r="G10" s="12">
        <v>0.29039999999999999</v>
      </c>
      <c r="H10" s="12">
        <f t="shared" si="1"/>
        <v>0.65171199999999985</v>
      </c>
      <c r="I10" s="12">
        <f t="shared" si="2"/>
        <v>0.60009599999999974</v>
      </c>
      <c r="J10" s="12">
        <f t="shared" si="3"/>
        <v>0.51406933333333327</v>
      </c>
      <c r="K10" s="13">
        <v>0.25</v>
      </c>
      <c r="L10" s="13">
        <v>0.02</v>
      </c>
      <c r="M10" s="12"/>
      <c r="N10" s="6" t="s">
        <v>31</v>
      </c>
      <c r="O10" s="15" t="s">
        <v>19</v>
      </c>
    </row>
    <row r="11" spans="1:15" x14ac:dyDescent="0.3">
      <c r="A11" s="8" t="str">
        <f t="shared" si="0"/>
        <v>02</v>
      </c>
      <c r="B11" s="2" t="s">
        <v>29</v>
      </c>
      <c r="C11" s="2" t="s">
        <v>30</v>
      </c>
      <c r="D11" s="9">
        <v>22060090</v>
      </c>
      <c r="E11" s="10">
        <v>43592</v>
      </c>
      <c r="F11" s="16"/>
      <c r="G11" s="12">
        <v>0.29039999999999999</v>
      </c>
      <c r="H11" s="12">
        <f t="shared" si="1"/>
        <v>0.65171199999999985</v>
      </c>
      <c r="I11" s="12">
        <f t="shared" si="2"/>
        <v>0.60009599999999974</v>
      </c>
      <c r="J11" s="12">
        <f t="shared" si="3"/>
        <v>0.51406933333333327</v>
      </c>
      <c r="K11" s="13">
        <v>0.25</v>
      </c>
      <c r="L11" s="13">
        <v>0.02</v>
      </c>
      <c r="M11" s="12"/>
      <c r="N11" s="6" t="s">
        <v>31</v>
      </c>
      <c r="O11" s="15" t="s">
        <v>19</v>
      </c>
    </row>
    <row r="12" spans="1:15" x14ac:dyDescent="0.3">
      <c r="A12" s="8" t="str">
        <f t="shared" si="0"/>
        <v>02</v>
      </c>
      <c r="B12" s="2" t="s">
        <v>29</v>
      </c>
      <c r="C12" s="2" t="s">
        <v>30</v>
      </c>
      <c r="D12" s="9">
        <v>22089000</v>
      </c>
      <c r="E12" s="10">
        <v>43592</v>
      </c>
      <c r="F12" s="16"/>
      <c r="G12" s="12">
        <v>0.29039999999999999</v>
      </c>
      <c r="H12" s="12">
        <f t="shared" si="1"/>
        <v>0.65171199999999985</v>
      </c>
      <c r="I12" s="12">
        <f t="shared" si="2"/>
        <v>0.60009599999999974</v>
      </c>
      <c r="J12" s="12">
        <f t="shared" si="3"/>
        <v>0.51406933333333327</v>
      </c>
      <c r="K12" s="13">
        <v>0.25</v>
      </c>
      <c r="L12" s="13">
        <v>0.02</v>
      </c>
      <c r="M12" s="12"/>
      <c r="N12" s="6" t="s">
        <v>31</v>
      </c>
      <c r="O12" s="15" t="s">
        <v>19</v>
      </c>
    </row>
    <row r="13" spans="1:15" x14ac:dyDescent="0.3">
      <c r="A13" s="8" t="str">
        <f t="shared" si="0"/>
        <v>02</v>
      </c>
      <c r="B13" s="2" t="s">
        <v>32</v>
      </c>
      <c r="C13" s="2" t="s">
        <v>33</v>
      </c>
      <c r="D13" s="9">
        <v>22082000</v>
      </c>
      <c r="E13" s="10">
        <v>43592</v>
      </c>
      <c r="F13" s="16"/>
      <c r="G13" s="12">
        <v>0.29039999999999999</v>
      </c>
      <c r="H13" s="12">
        <f t="shared" si="1"/>
        <v>0.65171199999999985</v>
      </c>
      <c r="I13" s="12">
        <f t="shared" si="2"/>
        <v>0.60009599999999974</v>
      </c>
      <c r="J13" s="12">
        <f t="shared" si="3"/>
        <v>0.51406933333333327</v>
      </c>
      <c r="K13" s="13">
        <v>0.25</v>
      </c>
      <c r="L13" s="13">
        <v>0.02</v>
      </c>
      <c r="M13" s="12"/>
      <c r="N13" s="6" t="s">
        <v>34</v>
      </c>
      <c r="O13" s="15" t="s">
        <v>19</v>
      </c>
    </row>
    <row r="14" spans="1:15" x14ac:dyDescent="0.3">
      <c r="A14" s="8" t="str">
        <f t="shared" si="0"/>
        <v>02</v>
      </c>
      <c r="B14" s="2" t="s">
        <v>35</v>
      </c>
      <c r="C14" s="2" t="s">
        <v>36</v>
      </c>
      <c r="D14" s="9">
        <v>22060090</v>
      </c>
      <c r="E14" s="10">
        <v>43592</v>
      </c>
      <c r="F14" s="16"/>
      <c r="G14" s="12">
        <v>0.29039999999999999</v>
      </c>
      <c r="H14" s="12">
        <f t="shared" si="1"/>
        <v>0.65171199999999985</v>
      </c>
      <c r="I14" s="12">
        <f t="shared" si="2"/>
        <v>0.60009599999999974</v>
      </c>
      <c r="J14" s="12">
        <f t="shared" si="3"/>
        <v>0.51406933333333327</v>
      </c>
      <c r="K14" s="13">
        <v>0.25</v>
      </c>
      <c r="L14" s="13">
        <v>0.02</v>
      </c>
      <c r="M14" s="12"/>
      <c r="N14" s="6" t="s">
        <v>37</v>
      </c>
      <c r="O14" s="15" t="s">
        <v>19</v>
      </c>
    </row>
    <row r="15" spans="1:15" x14ac:dyDescent="0.3">
      <c r="A15" s="8" t="str">
        <f t="shared" si="0"/>
        <v>02</v>
      </c>
      <c r="B15" s="2" t="s">
        <v>35</v>
      </c>
      <c r="C15" s="2" t="s">
        <v>36</v>
      </c>
      <c r="D15" s="9">
        <v>22089000</v>
      </c>
      <c r="E15" s="10">
        <v>43592</v>
      </c>
      <c r="F15" s="16"/>
      <c r="G15" s="12">
        <v>0.29039999999999999</v>
      </c>
      <c r="H15" s="12">
        <f t="shared" si="1"/>
        <v>0.65171199999999985</v>
      </c>
      <c r="I15" s="12">
        <f t="shared" si="2"/>
        <v>0.60009599999999974</v>
      </c>
      <c r="J15" s="12">
        <f t="shared" si="3"/>
        <v>0.51406933333333327</v>
      </c>
      <c r="K15" s="13">
        <v>0.25</v>
      </c>
      <c r="L15" s="13">
        <v>0.02</v>
      </c>
      <c r="M15" s="12"/>
      <c r="N15" s="6" t="s">
        <v>37</v>
      </c>
      <c r="O15" s="15" t="s">
        <v>19</v>
      </c>
    </row>
    <row r="16" spans="1:15" x14ac:dyDescent="0.3">
      <c r="A16" s="8" t="str">
        <f t="shared" si="0"/>
        <v>02</v>
      </c>
      <c r="B16" s="2" t="s">
        <v>38</v>
      </c>
      <c r="C16" s="2" t="s">
        <v>39</v>
      </c>
      <c r="D16" s="9">
        <v>22085000</v>
      </c>
      <c r="E16" s="10">
        <v>43592</v>
      </c>
      <c r="F16" s="16"/>
      <c r="G16" s="12">
        <v>0.29039999999999999</v>
      </c>
      <c r="H16" s="12">
        <f t="shared" si="1"/>
        <v>0.65171199999999985</v>
      </c>
      <c r="I16" s="12">
        <f t="shared" si="2"/>
        <v>0.60009599999999974</v>
      </c>
      <c r="J16" s="12">
        <f t="shared" si="3"/>
        <v>0.51406933333333327</v>
      </c>
      <c r="K16" s="13">
        <v>0.25</v>
      </c>
      <c r="L16" s="13">
        <v>0.02</v>
      </c>
      <c r="M16" s="12"/>
      <c r="N16" s="6" t="s">
        <v>40</v>
      </c>
      <c r="O16" s="15" t="s">
        <v>19</v>
      </c>
    </row>
    <row r="17" spans="1:15" x14ac:dyDescent="0.3">
      <c r="A17" s="8" t="str">
        <f t="shared" si="0"/>
        <v>02</v>
      </c>
      <c r="B17" s="2" t="s">
        <v>41</v>
      </c>
      <c r="C17" s="2" t="s">
        <v>42</v>
      </c>
      <c r="D17" s="9" t="s">
        <v>17</v>
      </c>
      <c r="E17" s="10">
        <v>43592</v>
      </c>
      <c r="F17" s="16"/>
      <c r="G17" s="12">
        <v>0.29039999999999999</v>
      </c>
      <c r="H17" s="12">
        <f t="shared" si="1"/>
        <v>0.65171199999999985</v>
      </c>
      <c r="I17" s="12">
        <f t="shared" si="2"/>
        <v>0.60009599999999974</v>
      </c>
      <c r="J17" s="12">
        <f t="shared" si="3"/>
        <v>0.51406933333333327</v>
      </c>
      <c r="K17" s="13">
        <v>0.25</v>
      </c>
      <c r="L17" s="13">
        <v>0.02</v>
      </c>
      <c r="M17" s="12"/>
      <c r="N17" s="6" t="s">
        <v>43</v>
      </c>
      <c r="O17" s="15" t="s">
        <v>19</v>
      </c>
    </row>
    <row r="18" spans="1:15" x14ac:dyDescent="0.3">
      <c r="A18" s="8" t="str">
        <f t="shared" si="0"/>
        <v>02</v>
      </c>
      <c r="B18" s="2" t="s">
        <v>41</v>
      </c>
      <c r="C18" s="2" t="s">
        <v>42</v>
      </c>
      <c r="D18" s="9">
        <v>22060090</v>
      </c>
      <c r="E18" s="10">
        <v>43592</v>
      </c>
      <c r="F18" s="16"/>
      <c r="G18" s="12">
        <v>0.29039999999999999</v>
      </c>
      <c r="H18" s="12">
        <f t="shared" si="1"/>
        <v>0.65171199999999985</v>
      </c>
      <c r="I18" s="12">
        <f t="shared" si="2"/>
        <v>0.60009599999999974</v>
      </c>
      <c r="J18" s="12">
        <f t="shared" si="3"/>
        <v>0.51406933333333327</v>
      </c>
      <c r="K18" s="13">
        <v>0.25</v>
      </c>
      <c r="L18" s="13">
        <v>0.02</v>
      </c>
      <c r="M18" s="12"/>
      <c r="N18" s="6" t="s">
        <v>43</v>
      </c>
      <c r="O18" s="15" t="s">
        <v>19</v>
      </c>
    </row>
    <row r="19" spans="1:15" x14ac:dyDescent="0.3">
      <c r="A19" s="8" t="str">
        <f t="shared" si="0"/>
        <v>02</v>
      </c>
      <c r="B19" s="2" t="s">
        <v>41</v>
      </c>
      <c r="C19" s="2" t="s">
        <v>42</v>
      </c>
      <c r="D19" s="9">
        <v>22089000</v>
      </c>
      <c r="E19" s="10">
        <v>43592</v>
      </c>
      <c r="F19" s="16"/>
      <c r="G19" s="12">
        <v>0.29039999999999999</v>
      </c>
      <c r="H19" s="12">
        <f t="shared" si="1"/>
        <v>0.65171199999999985</v>
      </c>
      <c r="I19" s="12">
        <f t="shared" si="2"/>
        <v>0.60009599999999974</v>
      </c>
      <c r="J19" s="12">
        <f t="shared" si="3"/>
        <v>0.51406933333333327</v>
      </c>
      <c r="K19" s="13">
        <v>0.25</v>
      </c>
      <c r="L19" s="13">
        <v>0.02</v>
      </c>
      <c r="M19" s="12"/>
      <c r="N19" s="6" t="s">
        <v>43</v>
      </c>
      <c r="O19" s="15" t="s">
        <v>19</v>
      </c>
    </row>
    <row r="20" spans="1:15" x14ac:dyDescent="0.3">
      <c r="A20" s="8" t="str">
        <f t="shared" si="0"/>
        <v>02</v>
      </c>
      <c r="B20" s="2" t="s">
        <v>44</v>
      </c>
      <c r="C20" s="2" t="s">
        <v>45</v>
      </c>
      <c r="D20" s="9">
        <v>22087000</v>
      </c>
      <c r="E20" s="10">
        <v>43592</v>
      </c>
      <c r="F20" s="16"/>
      <c r="G20" s="12">
        <v>0.29039999999999999</v>
      </c>
      <c r="H20" s="12">
        <f t="shared" si="1"/>
        <v>0.65171199999999985</v>
      </c>
      <c r="I20" s="12">
        <f t="shared" si="2"/>
        <v>0.60009599999999974</v>
      </c>
      <c r="J20" s="12">
        <f t="shared" si="3"/>
        <v>0.51406933333333327</v>
      </c>
      <c r="K20" s="13">
        <v>0.25</v>
      </c>
      <c r="L20" s="13">
        <v>0.02</v>
      </c>
      <c r="M20" s="12"/>
      <c r="N20" s="6" t="s">
        <v>46</v>
      </c>
      <c r="O20" s="15" t="s">
        <v>19</v>
      </c>
    </row>
    <row r="21" spans="1:15" x14ac:dyDescent="0.3">
      <c r="A21" s="8" t="str">
        <f t="shared" si="0"/>
        <v>02</v>
      </c>
      <c r="B21" s="2" t="s">
        <v>47</v>
      </c>
      <c r="C21" s="2" t="s">
        <v>48</v>
      </c>
      <c r="D21" s="9">
        <v>22082000</v>
      </c>
      <c r="E21" s="10">
        <v>43592</v>
      </c>
      <c r="F21" s="16"/>
      <c r="G21" s="12">
        <v>0.29039999999999999</v>
      </c>
      <c r="H21" s="12">
        <f t="shared" si="1"/>
        <v>0.65171199999999985</v>
      </c>
      <c r="I21" s="12">
        <f t="shared" si="2"/>
        <v>0.60009599999999974</v>
      </c>
      <c r="J21" s="12">
        <f t="shared" si="3"/>
        <v>0.51406933333333327</v>
      </c>
      <c r="K21" s="13">
        <v>0.25</v>
      </c>
      <c r="L21" s="13">
        <v>0.02</v>
      </c>
      <c r="M21" s="12"/>
      <c r="N21" s="6" t="s">
        <v>49</v>
      </c>
      <c r="O21" s="15" t="s">
        <v>19</v>
      </c>
    </row>
    <row r="22" spans="1:15" x14ac:dyDescent="0.3">
      <c r="A22" s="8" t="str">
        <f t="shared" si="0"/>
        <v>02</v>
      </c>
      <c r="B22" s="2" t="s">
        <v>50</v>
      </c>
      <c r="C22" s="2" t="s">
        <v>51</v>
      </c>
      <c r="D22" s="9">
        <v>22084000</v>
      </c>
      <c r="E22" s="10">
        <v>43592</v>
      </c>
      <c r="F22" s="16"/>
      <c r="G22" s="12">
        <v>0.29039999999999999</v>
      </c>
      <c r="H22" s="12">
        <f t="shared" si="1"/>
        <v>0.65171199999999985</v>
      </c>
      <c r="I22" s="12">
        <f t="shared" si="2"/>
        <v>0.60009599999999974</v>
      </c>
      <c r="J22" s="12">
        <f t="shared" si="3"/>
        <v>0.51406933333333327</v>
      </c>
      <c r="K22" s="13">
        <v>0.25</v>
      </c>
      <c r="L22" s="13">
        <v>0.02</v>
      </c>
      <c r="M22" s="12"/>
      <c r="N22" s="6" t="s">
        <v>52</v>
      </c>
      <c r="O22" s="15" t="s">
        <v>19</v>
      </c>
    </row>
    <row r="23" spans="1:15" x14ac:dyDescent="0.3">
      <c r="A23" s="8" t="str">
        <f t="shared" si="0"/>
        <v>02</v>
      </c>
      <c r="B23" s="2" t="s">
        <v>53</v>
      </c>
      <c r="C23" s="2" t="s">
        <v>54</v>
      </c>
      <c r="D23" s="9">
        <v>22060090</v>
      </c>
      <c r="E23" s="10">
        <v>43592</v>
      </c>
      <c r="F23" s="16"/>
      <c r="G23" s="12">
        <v>0.29039999999999999</v>
      </c>
      <c r="H23" s="12">
        <f t="shared" si="1"/>
        <v>0.65171199999999985</v>
      </c>
      <c r="I23" s="12">
        <f t="shared" si="2"/>
        <v>0.60009599999999974</v>
      </c>
      <c r="J23" s="12">
        <f t="shared" si="3"/>
        <v>0.51406933333333327</v>
      </c>
      <c r="K23" s="13">
        <v>0.25</v>
      </c>
      <c r="L23" s="13">
        <v>0.02</v>
      </c>
      <c r="M23" s="12"/>
      <c r="N23" s="6" t="s">
        <v>55</v>
      </c>
      <c r="O23" s="15" t="s">
        <v>19</v>
      </c>
    </row>
    <row r="24" spans="1:15" x14ac:dyDescent="0.3">
      <c r="A24" s="8" t="str">
        <f t="shared" si="0"/>
        <v>02</v>
      </c>
      <c r="B24" s="2" t="s">
        <v>56</v>
      </c>
      <c r="C24" s="2" t="s">
        <v>57</v>
      </c>
      <c r="D24" s="9">
        <v>22089000</v>
      </c>
      <c r="E24" s="10">
        <v>43592</v>
      </c>
      <c r="F24" s="16"/>
      <c r="G24" s="12">
        <v>0.29039999999999999</v>
      </c>
      <c r="H24" s="12">
        <f t="shared" si="1"/>
        <v>0.65171199999999985</v>
      </c>
      <c r="I24" s="12">
        <f t="shared" si="2"/>
        <v>0.60009599999999974</v>
      </c>
      <c r="J24" s="12">
        <f t="shared" si="3"/>
        <v>0.51406933333333327</v>
      </c>
      <c r="K24" s="13">
        <v>0.25</v>
      </c>
      <c r="L24" s="13">
        <v>0.02</v>
      </c>
      <c r="M24" s="12"/>
      <c r="N24" s="6" t="s">
        <v>58</v>
      </c>
      <c r="O24" s="15" t="s">
        <v>19</v>
      </c>
    </row>
    <row r="25" spans="1:15" x14ac:dyDescent="0.3">
      <c r="A25" s="8" t="str">
        <f t="shared" si="0"/>
        <v>02</v>
      </c>
      <c r="B25" s="2" t="s">
        <v>59</v>
      </c>
      <c r="C25" s="2" t="s">
        <v>60</v>
      </c>
      <c r="D25" s="9">
        <v>22089000</v>
      </c>
      <c r="E25" s="10">
        <v>43592</v>
      </c>
      <c r="F25" s="16"/>
      <c r="G25" s="12">
        <v>0.29039999999999999</v>
      </c>
      <c r="H25" s="12">
        <f t="shared" si="1"/>
        <v>0.65171199999999985</v>
      </c>
      <c r="I25" s="12">
        <f t="shared" si="2"/>
        <v>0.60009599999999974</v>
      </c>
      <c r="J25" s="12">
        <f t="shared" si="3"/>
        <v>0.51406933333333327</v>
      </c>
      <c r="K25" s="13">
        <v>0.25</v>
      </c>
      <c r="L25" s="13">
        <v>0.02</v>
      </c>
      <c r="M25" s="12"/>
      <c r="N25" s="6" t="s">
        <v>61</v>
      </c>
      <c r="O25" s="15" t="s">
        <v>19</v>
      </c>
    </row>
    <row r="26" spans="1:15" x14ac:dyDescent="0.3">
      <c r="A26" s="8" t="str">
        <f t="shared" si="0"/>
        <v>02</v>
      </c>
      <c r="B26" s="2" t="s">
        <v>62</v>
      </c>
      <c r="C26" s="2" t="s">
        <v>63</v>
      </c>
      <c r="D26" s="9">
        <v>220830</v>
      </c>
      <c r="E26" s="10">
        <v>43592</v>
      </c>
      <c r="F26" s="16"/>
      <c r="G26" s="12">
        <v>0.29039999999999999</v>
      </c>
      <c r="H26" s="12">
        <f t="shared" si="1"/>
        <v>0.65171199999999985</v>
      </c>
      <c r="I26" s="12">
        <f t="shared" si="2"/>
        <v>0.60009599999999974</v>
      </c>
      <c r="J26" s="12">
        <f t="shared" si="3"/>
        <v>0.51406933333333327</v>
      </c>
      <c r="K26" s="13">
        <v>0.25</v>
      </c>
      <c r="L26" s="13">
        <v>0.02</v>
      </c>
      <c r="M26" s="12"/>
      <c r="N26" s="6" t="s">
        <v>64</v>
      </c>
      <c r="O26" s="15" t="s">
        <v>19</v>
      </c>
    </row>
    <row r="27" spans="1:15" x14ac:dyDescent="0.3">
      <c r="A27" s="8" t="str">
        <f t="shared" si="0"/>
        <v>02</v>
      </c>
      <c r="B27" s="2" t="s">
        <v>65</v>
      </c>
      <c r="C27" s="2" t="s">
        <v>66</v>
      </c>
      <c r="D27" s="9" t="s">
        <v>17</v>
      </c>
      <c r="E27" s="10">
        <v>43592</v>
      </c>
      <c r="F27" s="16"/>
      <c r="G27" s="12">
        <v>0.29039999999999999</v>
      </c>
      <c r="H27" s="12">
        <f t="shared" si="1"/>
        <v>0.65171199999999985</v>
      </c>
      <c r="I27" s="12">
        <f t="shared" si="2"/>
        <v>0.60009599999999974</v>
      </c>
      <c r="J27" s="12">
        <f t="shared" si="3"/>
        <v>0.51406933333333327</v>
      </c>
      <c r="K27" s="13">
        <v>0.25</v>
      </c>
      <c r="L27" s="13">
        <v>0.02</v>
      </c>
      <c r="M27" s="12"/>
      <c r="N27" s="6" t="s">
        <v>67</v>
      </c>
      <c r="O27" s="15" t="s">
        <v>19</v>
      </c>
    </row>
    <row r="28" spans="1:15" x14ac:dyDescent="0.3">
      <c r="A28" s="8" t="str">
        <f t="shared" si="0"/>
        <v>02</v>
      </c>
      <c r="B28" s="2" t="s">
        <v>68</v>
      </c>
      <c r="C28" s="2" t="s">
        <v>69</v>
      </c>
      <c r="D28" s="9">
        <v>22086000</v>
      </c>
      <c r="E28" s="10">
        <v>43592</v>
      </c>
      <c r="F28" s="16"/>
      <c r="G28" s="12">
        <v>0.29039999999999999</v>
      </c>
      <c r="H28" s="12">
        <f t="shared" si="1"/>
        <v>0.65171199999999985</v>
      </c>
      <c r="I28" s="12">
        <f t="shared" si="2"/>
        <v>0.60009599999999974</v>
      </c>
      <c r="J28" s="12">
        <f t="shared" si="3"/>
        <v>0.51406933333333327</v>
      </c>
      <c r="K28" s="13">
        <v>0.25</v>
      </c>
      <c r="L28" s="13">
        <v>0.02</v>
      </c>
      <c r="M28" s="12"/>
      <c r="N28" s="6" t="s">
        <v>70</v>
      </c>
      <c r="O28" s="15" t="s">
        <v>19</v>
      </c>
    </row>
    <row r="29" spans="1:15" x14ac:dyDescent="0.3">
      <c r="A29" s="8" t="str">
        <f t="shared" si="0"/>
        <v>02</v>
      </c>
      <c r="B29" s="2" t="s">
        <v>71</v>
      </c>
      <c r="C29" s="2" t="s">
        <v>72</v>
      </c>
      <c r="D29" s="9">
        <v>22089000</v>
      </c>
      <c r="E29" s="10">
        <v>43592</v>
      </c>
      <c r="F29" s="16"/>
      <c r="G29" s="12">
        <v>0.29039999999999999</v>
      </c>
      <c r="H29" s="12">
        <f t="shared" si="1"/>
        <v>0.65171199999999985</v>
      </c>
      <c r="I29" s="12">
        <f t="shared" si="2"/>
        <v>0.60009599999999974</v>
      </c>
      <c r="J29" s="12">
        <f t="shared" si="3"/>
        <v>0.51406933333333327</v>
      </c>
      <c r="K29" s="13">
        <v>0.25</v>
      </c>
      <c r="L29" s="13">
        <v>0.02</v>
      </c>
      <c r="M29" s="12"/>
      <c r="N29" s="6" t="s">
        <v>73</v>
      </c>
      <c r="O29" s="15" t="s">
        <v>19</v>
      </c>
    </row>
    <row r="30" spans="1:15" x14ac:dyDescent="0.3">
      <c r="A30" s="8" t="str">
        <f t="shared" si="0"/>
        <v>02</v>
      </c>
      <c r="B30" s="2" t="s">
        <v>74</v>
      </c>
      <c r="C30" s="2" t="s">
        <v>75</v>
      </c>
      <c r="D30" s="9">
        <v>22089000</v>
      </c>
      <c r="E30" s="10">
        <v>43592</v>
      </c>
      <c r="F30" s="16"/>
      <c r="G30" s="12">
        <v>0.29039999999999999</v>
      </c>
      <c r="H30" s="12">
        <f t="shared" si="1"/>
        <v>0.65171199999999985</v>
      </c>
      <c r="I30" s="12">
        <f t="shared" si="2"/>
        <v>0.60009599999999974</v>
      </c>
      <c r="J30" s="12">
        <f t="shared" si="3"/>
        <v>0.51406933333333327</v>
      </c>
      <c r="K30" s="13">
        <v>0.25</v>
      </c>
      <c r="L30" s="13">
        <v>0.02</v>
      </c>
      <c r="M30" s="12"/>
      <c r="N30" s="6" t="s">
        <v>76</v>
      </c>
      <c r="O30" s="15" t="s">
        <v>19</v>
      </c>
    </row>
    <row r="31" spans="1:15" x14ac:dyDescent="0.3">
      <c r="A31" s="8" t="str">
        <f t="shared" si="0"/>
        <v>02</v>
      </c>
      <c r="B31" s="2" t="s">
        <v>77</v>
      </c>
      <c r="C31" s="2" t="s">
        <v>78</v>
      </c>
      <c r="D31" s="9">
        <v>22082000</v>
      </c>
      <c r="E31" s="10">
        <v>43592</v>
      </c>
      <c r="F31" s="16"/>
      <c r="G31" s="12">
        <v>0.29039999999999999</v>
      </c>
      <c r="H31" s="12">
        <f t="shared" si="1"/>
        <v>0.65171199999999985</v>
      </c>
      <c r="I31" s="12">
        <f t="shared" si="2"/>
        <v>0.60009599999999974</v>
      </c>
      <c r="J31" s="12">
        <f t="shared" si="3"/>
        <v>0.51406933333333327</v>
      </c>
      <c r="K31" s="13">
        <v>0.25</v>
      </c>
      <c r="L31" s="13">
        <v>0.02</v>
      </c>
      <c r="M31" s="12"/>
      <c r="N31" s="6" t="s">
        <v>79</v>
      </c>
      <c r="O31" s="15" t="s">
        <v>19</v>
      </c>
    </row>
    <row r="32" spans="1:15" x14ac:dyDescent="0.3">
      <c r="A32" s="8" t="str">
        <f t="shared" si="0"/>
        <v>02</v>
      </c>
      <c r="B32" s="2" t="s">
        <v>80</v>
      </c>
      <c r="C32" s="2" t="s">
        <v>81</v>
      </c>
      <c r="D32" s="9">
        <v>22060010</v>
      </c>
      <c r="E32" s="10">
        <v>43592</v>
      </c>
      <c r="F32" s="16"/>
      <c r="G32" s="12">
        <v>0.29039999999999999</v>
      </c>
      <c r="H32" s="12">
        <f t="shared" si="1"/>
        <v>0.65171199999999985</v>
      </c>
      <c r="I32" s="12">
        <f t="shared" si="2"/>
        <v>0.60009599999999974</v>
      </c>
      <c r="J32" s="12">
        <f t="shared" si="3"/>
        <v>0.51406933333333327</v>
      </c>
      <c r="K32" s="13">
        <v>0.25</v>
      </c>
      <c r="L32" s="13">
        <v>0.02</v>
      </c>
      <c r="M32" s="12"/>
      <c r="N32" s="6" t="s">
        <v>82</v>
      </c>
      <c r="O32" s="15" t="s">
        <v>19</v>
      </c>
    </row>
    <row r="33" spans="1:15" x14ac:dyDescent="0.3">
      <c r="A33" s="8" t="str">
        <f t="shared" si="0"/>
        <v>02</v>
      </c>
      <c r="B33" s="2" t="s">
        <v>83</v>
      </c>
      <c r="C33" s="2" t="s">
        <v>84</v>
      </c>
      <c r="D33" s="9" t="s">
        <v>17</v>
      </c>
      <c r="E33" s="10">
        <v>43592</v>
      </c>
      <c r="F33" s="16"/>
      <c r="G33" s="12">
        <v>0.29039999999999999</v>
      </c>
      <c r="H33" s="12">
        <f t="shared" si="1"/>
        <v>0.65171199999999985</v>
      </c>
      <c r="I33" s="12">
        <f t="shared" si="2"/>
        <v>0.60009599999999974</v>
      </c>
      <c r="J33" s="12">
        <f t="shared" si="3"/>
        <v>0.51406933333333327</v>
      </c>
      <c r="K33" s="13">
        <v>0.25</v>
      </c>
      <c r="L33" s="13">
        <v>0.02</v>
      </c>
      <c r="M33" s="12"/>
      <c r="N33" s="6" t="s">
        <v>85</v>
      </c>
      <c r="O33" s="15" t="s">
        <v>19</v>
      </c>
    </row>
    <row r="34" spans="1:15" x14ac:dyDescent="0.3">
      <c r="A34" s="8" t="str">
        <f t="shared" si="0"/>
        <v>02</v>
      </c>
      <c r="B34" s="2" t="s">
        <v>83</v>
      </c>
      <c r="C34" s="2" t="s">
        <v>84</v>
      </c>
      <c r="D34" s="9">
        <v>22060090</v>
      </c>
      <c r="E34" s="10">
        <v>43592</v>
      </c>
      <c r="F34" s="16"/>
      <c r="G34" s="12">
        <v>0.29039999999999999</v>
      </c>
      <c r="H34" s="12">
        <f t="shared" si="1"/>
        <v>0.65171199999999985</v>
      </c>
      <c r="I34" s="12">
        <f t="shared" si="2"/>
        <v>0.60009599999999974</v>
      </c>
      <c r="J34" s="12">
        <f t="shared" si="3"/>
        <v>0.51406933333333327</v>
      </c>
      <c r="K34" s="13">
        <v>0.25</v>
      </c>
      <c r="L34" s="13">
        <v>0.02</v>
      </c>
      <c r="M34" s="12"/>
      <c r="N34" s="6" t="s">
        <v>85</v>
      </c>
      <c r="O34" s="15" t="s">
        <v>19</v>
      </c>
    </row>
    <row r="35" spans="1:15" x14ac:dyDescent="0.3">
      <c r="A35" s="8" t="str">
        <f t="shared" si="0"/>
        <v>02</v>
      </c>
      <c r="B35" s="2" t="s">
        <v>83</v>
      </c>
      <c r="C35" s="2" t="s">
        <v>84</v>
      </c>
      <c r="D35" s="9">
        <v>22089000</v>
      </c>
      <c r="E35" s="10">
        <v>43592</v>
      </c>
      <c r="F35" s="16"/>
      <c r="G35" s="12">
        <v>0.29039999999999999</v>
      </c>
      <c r="H35" s="12">
        <f t="shared" si="1"/>
        <v>0.65171199999999985</v>
      </c>
      <c r="I35" s="12">
        <f t="shared" si="2"/>
        <v>0.60009599999999974</v>
      </c>
      <c r="J35" s="12">
        <f t="shared" si="3"/>
        <v>0.51406933333333327</v>
      </c>
      <c r="K35" s="13">
        <v>0.25</v>
      </c>
      <c r="L35" s="13">
        <v>0.02</v>
      </c>
      <c r="M35" s="12"/>
      <c r="N35" s="6" t="s">
        <v>85</v>
      </c>
      <c r="O35" s="15" t="s">
        <v>19</v>
      </c>
    </row>
    <row r="36" spans="1:15" x14ac:dyDescent="0.3">
      <c r="A36" s="8" t="str">
        <f t="shared" si="0"/>
        <v>02</v>
      </c>
      <c r="B36" s="2" t="s">
        <v>86</v>
      </c>
      <c r="C36" s="2" t="s">
        <v>87</v>
      </c>
      <c r="D36" s="9" t="s">
        <v>88</v>
      </c>
      <c r="E36" s="10">
        <v>43592</v>
      </c>
      <c r="F36" s="16"/>
      <c r="G36" s="12">
        <v>0.29039999999999999</v>
      </c>
      <c r="H36" s="12">
        <f t="shared" si="1"/>
        <v>0.65171199999999985</v>
      </c>
      <c r="I36" s="12">
        <f t="shared" si="2"/>
        <v>0.60009599999999974</v>
      </c>
      <c r="J36" s="12">
        <f t="shared" si="3"/>
        <v>0.51406933333333327</v>
      </c>
      <c r="K36" s="13">
        <v>0.25</v>
      </c>
      <c r="L36" s="13">
        <v>0.02</v>
      </c>
      <c r="M36" s="12"/>
      <c r="N36" s="6" t="s">
        <v>89</v>
      </c>
      <c r="O36" s="15" t="s">
        <v>19</v>
      </c>
    </row>
    <row r="37" spans="1:15" x14ac:dyDescent="0.3">
      <c r="A37" s="8" t="str">
        <f t="shared" si="0"/>
        <v>02</v>
      </c>
      <c r="B37" s="2" t="s">
        <v>90</v>
      </c>
      <c r="C37" s="2" t="s">
        <v>91</v>
      </c>
      <c r="D37" s="9" t="s">
        <v>17</v>
      </c>
      <c r="E37" s="10">
        <v>43592</v>
      </c>
      <c r="F37" s="16"/>
      <c r="G37" s="12">
        <v>0.29039999999999999</v>
      </c>
      <c r="H37" s="12">
        <f t="shared" si="1"/>
        <v>0.65171199999999985</v>
      </c>
      <c r="I37" s="12">
        <f t="shared" si="2"/>
        <v>0.60009599999999974</v>
      </c>
      <c r="J37" s="12">
        <f t="shared" si="3"/>
        <v>0.51406933333333327</v>
      </c>
      <c r="K37" s="13">
        <v>0.25</v>
      </c>
      <c r="L37" s="13">
        <v>0.02</v>
      </c>
      <c r="M37" s="12"/>
      <c r="N37" s="6" t="s">
        <v>92</v>
      </c>
      <c r="O37" s="15" t="s">
        <v>19</v>
      </c>
    </row>
    <row r="38" spans="1:15" x14ac:dyDescent="0.3">
      <c r="A38" s="8" t="str">
        <f t="shared" si="0"/>
        <v>02</v>
      </c>
      <c r="B38" s="2" t="s">
        <v>90</v>
      </c>
      <c r="C38" s="2" t="s">
        <v>91</v>
      </c>
      <c r="D38" s="9" t="s">
        <v>93</v>
      </c>
      <c r="E38" s="10">
        <v>43592</v>
      </c>
      <c r="F38" s="16"/>
      <c r="G38" s="12">
        <v>0.29039999999999999</v>
      </c>
      <c r="H38" s="12">
        <f t="shared" si="1"/>
        <v>0.65171199999999985</v>
      </c>
      <c r="I38" s="12">
        <f t="shared" si="2"/>
        <v>0.60009599999999974</v>
      </c>
      <c r="J38" s="12">
        <f t="shared" si="3"/>
        <v>0.51406933333333327</v>
      </c>
      <c r="K38" s="13">
        <v>0.25</v>
      </c>
      <c r="L38" s="13">
        <v>0.02</v>
      </c>
      <c r="M38" s="12"/>
      <c r="N38" s="6" t="s">
        <v>92</v>
      </c>
      <c r="O38" s="15" t="s">
        <v>19</v>
      </c>
    </row>
    <row r="39" spans="1:15" x14ac:dyDescent="0.3">
      <c r="A39" s="8" t="str">
        <f t="shared" si="0"/>
        <v>02</v>
      </c>
      <c r="B39" s="2" t="s">
        <v>90</v>
      </c>
      <c r="C39" s="2" t="s">
        <v>91</v>
      </c>
      <c r="D39" s="9" t="s">
        <v>94</v>
      </c>
      <c r="E39" s="10">
        <v>43592</v>
      </c>
      <c r="F39" s="16"/>
      <c r="G39" s="12">
        <v>0.29039999999999999</v>
      </c>
      <c r="H39" s="12">
        <f t="shared" si="1"/>
        <v>0.65171199999999985</v>
      </c>
      <c r="I39" s="12">
        <f t="shared" si="2"/>
        <v>0.60009599999999974</v>
      </c>
      <c r="J39" s="12">
        <f t="shared" si="3"/>
        <v>0.51406933333333327</v>
      </c>
      <c r="K39" s="13">
        <v>0.25</v>
      </c>
      <c r="L39" s="13">
        <v>0.02</v>
      </c>
      <c r="M39" s="12"/>
      <c r="N39" s="6" t="s">
        <v>92</v>
      </c>
      <c r="O39" s="15" t="s">
        <v>19</v>
      </c>
    </row>
    <row r="40" spans="1:15" x14ac:dyDescent="0.3">
      <c r="A40" s="8" t="str">
        <f t="shared" si="0"/>
        <v>02</v>
      </c>
      <c r="B40" s="2" t="s">
        <v>90</v>
      </c>
      <c r="C40" s="2" t="s">
        <v>91</v>
      </c>
      <c r="D40" s="9" t="s">
        <v>95</v>
      </c>
      <c r="E40" s="10">
        <v>43592</v>
      </c>
      <c r="F40" s="16"/>
      <c r="G40" s="12">
        <v>0.29039999999999999</v>
      </c>
      <c r="H40" s="12">
        <f t="shared" si="1"/>
        <v>0.65171199999999985</v>
      </c>
      <c r="I40" s="12">
        <f t="shared" si="2"/>
        <v>0.60009599999999974</v>
      </c>
      <c r="J40" s="12">
        <f t="shared" si="3"/>
        <v>0.51406933333333327</v>
      </c>
      <c r="K40" s="13">
        <v>0.25</v>
      </c>
      <c r="L40" s="13">
        <v>0.02</v>
      </c>
      <c r="M40" s="12"/>
      <c r="N40" s="6" t="s">
        <v>92</v>
      </c>
      <c r="O40" s="15" t="s">
        <v>19</v>
      </c>
    </row>
    <row r="43" spans="1:15" ht="13" x14ac:dyDescent="0.3">
      <c r="H43" s="20"/>
    </row>
  </sheetData>
  <sheetProtection password="F150" sheet="1" objects="1" scenarios="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Bebidas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de Arruda</dc:creator>
  <cp:lastModifiedBy>Joselinda Goncalves Machado</cp:lastModifiedBy>
  <dcterms:created xsi:type="dcterms:W3CDTF">2019-07-04T13:23:40Z</dcterms:created>
  <dcterms:modified xsi:type="dcterms:W3CDTF">2025-02-27T12:16:32Z</dcterms:modified>
</cp:coreProperties>
</file>