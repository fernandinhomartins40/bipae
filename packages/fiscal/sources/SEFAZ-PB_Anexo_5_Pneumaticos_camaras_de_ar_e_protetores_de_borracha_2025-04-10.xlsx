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Pneumatico" sheetId="1" r:id="rId1"/>
  </sheets>
  <calcPr calcId="145621"/>
</workbook>
</file>

<file path=xl/calcChain.xml><?xml version="1.0" encoding="utf-8"?>
<calcChain xmlns="http://schemas.openxmlformats.org/spreadsheetml/2006/main">
  <c r="J13" i="1" l="1"/>
  <c r="I13" i="1"/>
  <c r="H13" i="1"/>
  <c r="A13" i="1"/>
  <c r="J11" i="1"/>
  <c r="I11" i="1"/>
  <c r="H11" i="1"/>
  <c r="A11" i="1"/>
  <c r="J9" i="1"/>
  <c r="I9" i="1"/>
  <c r="H9" i="1"/>
  <c r="A9" i="1"/>
  <c r="J7" i="1"/>
  <c r="I7" i="1"/>
  <c r="H7" i="1"/>
  <c r="A7" i="1"/>
  <c r="J5" i="1"/>
  <c r="I5" i="1"/>
  <c r="H5" i="1"/>
  <c r="A5" i="1"/>
  <c r="J3" i="1"/>
  <c r="I3" i="1"/>
  <c r="H3" i="1"/>
  <c r="A3" i="1"/>
  <c r="J12" i="1" l="1"/>
  <c r="I12" i="1"/>
  <c r="H12" i="1"/>
  <c r="A12" i="1"/>
  <c r="J10" i="1"/>
  <c r="I10" i="1"/>
  <c r="H10" i="1"/>
  <c r="A10" i="1"/>
  <c r="J8" i="1"/>
  <c r="I8" i="1"/>
  <c r="H8" i="1"/>
  <c r="A8" i="1"/>
  <c r="J6" i="1"/>
  <c r="I6" i="1"/>
  <c r="H6" i="1"/>
  <c r="A6" i="1"/>
  <c r="J4" i="1"/>
  <c r="I4" i="1"/>
  <c r="H4" i="1"/>
  <c r="A4" i="1"/>
  <c r="J2" i="1"/>
  <c r="I2" i="1"/>
  <c r="H2" i="1"/>
  <c r="A2" i="1"/>
</calcChain>
</file>

<file path=xl/sharedStrings.xml><?xml version="1.0" encoding="utf-8"?>
<sst xmlns="http://schemas.openxmlformats.org/spreadsheetml/2006/main" count="63" uniqueCount="35">
  <si>
    <t>Tabela CEST</t>
  </si>
  <si>
    <t>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</si>
  <si>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</si>
  <si>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</si>
  <si>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</si>
  <si>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</si>
  <si>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</si>
  <si>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</si>
  <si>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</si>
  <si>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</si>
  <si>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</si>
  <si>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</si>
  <si>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</si>
  <si>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</si>
  <si>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</si>
  <si>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1.0</t>
  </si>
  <si>
    <t>16.001.00</t>
  </si>
  <si>
    <t>Pneus novos, dos tipos utilizados em automóveis de passageiros (incluídos os veículos de uso misto - camionetas e os automóveis de corrida)</t>
  </si>
  <si>
    <t>DECRETO ICMS/PB Nº 39.158</t>
  </si>
  <si>
    <t>2.0</t>
  </si>
  <si>
    <t>16.002.00</t>
  </si>
  <si>
    <t>Pneus novos, dos tipos utilizados em caminhões (inclusive para os fora-de-estrada), ônibus, aviões, máquinas de terraplenagem, de construção e conservação de estradas, máquinas e tratores agrícolas, pá-carregadeira</t>
  </si>
  <si>
    <t>3.0</t>
  </si>
  <si>
    <t>16.003.00</t>
  </si>
  <si>
    <t>Pneus novos para motocicletas</t>
  </si>
  <si>
    <t>4.0</t>
  </si>
  <si>
    <t>16.004.00</t>
  </si>
  <si>
    <t>Outros tipos de pneus novos, exceto os itens classificados no CEST 16.005.00</t>
  </si>
  <si>
    <t>7.0</t>
  </si>
  <si>
    <t>16.007.00</t>
  </si>
  <si>
    <t>Protetores de borracha, exceto os itens classificados no CEST 16.007.01</t>
  </si>
  <si>
    <t>8.0</t>
  </si>
  <si>
    <t>16.008.00</t>
  </si>
  <si>
    <t>Câmaras de ar de borracha, exceto os itens classificados no CEST 16.009.00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</si>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</sst>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10" fontId="2" fillId="0" borderId="1" xfId="0" applyNumberFormat="1" applyFont="1" applyBorder="1"/>
    <xf numFmtId="9" fontId="2" fillId="0" borderId="1" xfId="0" applyNumberFormat="1" applyFont="1" applyBorder="1"/>
    <xf numFmtId="0" fontId="2" fillId="2" borderId="1" xfId="0" applyFont="1" applyFill="1" applyBorder="1" applyAlignment="1"/>
    <xf numFmtId="0" fontId="2" fillId="0" borderId="1" xfId="0" applyFont="1" applyBorder="1"/>
    <xf numFmtId="0" fontId="0" fillId="0" borderId="0" xfId="0" applyFont="1"/>
    <xf numFmtId="9" fontId="2" fillId="0" borderId="0" xfId="0" applyNumberFormat="1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zoomScale="90" zoomScaleNormal="90" workbookViewId="0">
      <pane ySplit="1" topLeftCell="A2" activePane="bottomLeft" state="frozen"/>
      <selection pane="bottomLeft" activeCell="M15" sqref="M15"/>
    </sheetView>
  </sheetViews>
  <sheetFormatPr defaultColWidth="9.1796875" defaultRowHeight="14.5" x14ac:dyDescent="0.35"/>
  <cols>
    <col min="1" max="1" width="6.54296875" style="6" bestFit="1" customWidth="1"/>
    <col min="2" max="2" width="4.453125" style="6" bestFit="1" customWidth="1"/>
    <col min="3" max="3" width="8.81640625" style="6" bestFit="1" customWidth="1"/>
    <col min="4" max="4" width="9.81640625" style="6" bestFit="1" customWidth="1"/>
    <col min="5" max="5" width="9.26953125" style="6" bestFit="1" customWidth="1"/>
    <col min="6" max="6" width="8.453125" style="14" customWidth="1"/>
    <col min="7" max="7" width="8" style="6" customWidth="1"/>
    <col min="8" max="10" width="9.1796875" style="6"/>
    <col min="11" max="13" width="6" style="15" customWidth="1"/>
    <col min="14" max="14" width="58.08984375" style="16" customWidth="1"/>
    <col min="15" max="15" width="24.7265625" style="6" bestFit="1" customWidth="1"/>
    <col min="16" max="16384" width="9.1796875" style="6"/>
  </cols>
  <sheetData>
    <row r="1" spans="1:15" ht="24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5" t="s">
        <v>13</v>
      </c>
      <c r="O1" s="1" t="s">
        <v>14</v>
      </c>
    </row>
    <row r="2" spans="1:15" ht="12" x14ac:dyDescent="0.3">
      <c r="A2" s="7" t="str">
        <f t="shared" ref="A2:A13" si="0">LEFT(C2,2)</f>
        <v>16</v>
      </c>
      <c r="B2" s="8" t="s">
        <v>15</v>
      </c>
      <c r="C2" s="8" t="s">
        <v>16</v>
      </c>
      <c r="D2" s="8">
        <v>40111000</v>
      </c>
      <c r="E2" s="9">
        <v>43592</v>
      </c>
      <c r="F2" s="9">
        <v>45291</v>
      </c>
      <c r="G2" s="10">
        <v>0.42</v>
      </c>
      <c r="H2" s="10">
        <f t="shared" ref="H2:H13" si="1">((1+G2)*(1-4%)/(1-K2))-1</f>
        <v>0.66243902439024382</v>
      </c>
      <c r="I2" s="10">
        <f t="shared" ref="I2:I13" si="2">((1+G2)*(1-7%)/(1-K2))-1</f>
        <v>0.61048780487804843</v>
      </c>
      <c r="J2" s="10">
        <f t="shared" ref="J2:J13" si="3">((1+G2)*(1-12%)/(1-K2))-1</f>
        <v>0.52390243902439027</v>
      </c>
      <c r="K2" s="11">
        <v>0.18</v>
      </c>
      <c r="L2" s="11"/>
      <c r="M2" s="11"/>
      <c r="N2" s="12" t="s">
        <v>17</v>
      </c>
      <c r="O2" s="13" t="s">
        <v>18</v>
      </c>
    </row>
    <row r="3" spans="1:15" ht="12" x14ac:dyDescent="0.3">
      <c r="A3" s="7" t="str">
        <f t="shared" si="0"/>
        <v>16</v>
      </c>
      <c r="B3" s="8" t="s">
        <v>15</v>
      </c>
      <c r="C3" s="8" t="s">
        <v>16</v>
      </c>
      <c r="D3" s="8">
        <v>40111000</v>
      </c>
      <c r="E3" s="9">
        <v>45292</v>
      </c>
      <c r="F3" s="8"/>
      <c r="G3" s="10">
        <v>0.42</v>
      </c>
      <c r="H3" s="10">
        <f t="shared" si="1"/>
        <v>0.70399999999999996</v>
      </c>
      <c r="I3" s="10">
        <f t="shared" si="2"/>
        <v>0.65074999999999972</v>
      </c>
      <c r="J3" s="10">
        <f t="shared" si="3"/>
        <v>0.56200000000000006</v>
      </c>
      <c r="K3" s="11">
        <v>0.2</v>
      </c>
      <c r="L3" s="11"/>
      <c r="M3" s="11"/>
      <c r="N3" s="12" t="s">
        <v>17</v>
      </c>
      <c r="O3" s="13" t="s">
        <v>34</v>
      </c>
    </row>
    <row r="4" spans="1:15" ht="12" x14ac:dyDescent="0.3">
      <c r="A4" s="7" t="str">
        <f t="shared" si="0"/>
        <v>16</v>
      </c>
      <c r="B4" s="8" t="s">
        <v>19</v>
      </c>
      <c r="C4" s="8" t="s">
        <v>20</v>
      </c>
      <c r="D4" s="8">
        <v>4011</v>
      </c>
      <c r="E4" s="9">
        <v>43592</v>
      </c>
      <c r="F4" s="9">
        <v>45291</v>
      </c>
      <c r="G4" s="10">
        <v>0.32</v>
      </c>
      <c r="H4" s="10">
        <f t="shared" si="1"/>
        <v>0.54536585365853663</v>
      </c>
      <c r="I4" s="10">
        <f t="shared" si="2"/>
        <v>0.49707317073170731</v>
      </c>
      <c r="J4" s="10">
        <f t="shared" si="3"/>
        <v>0.41658536585365846</v>
      </c>
      <c r="K4" s="11">
        <v>0.18</v>
      </c>
      <c r="L4" s="11"/>
      <c r="M4" s="11"/>
      <c r="N4" s="12" t="s">
        <v>21</v>
      </c>
      <c r="O4" s="13" t="s">
        <v>18</v>
      </c>
    </row>
    <row r="5" spans="1:15" ht="12" x14ac:dyDescent="0.3">
      <c r="A5" s="7" t="str">
        <f t="shared" si="0"/>
        <v>16</v>
      </c>
      <c r="B5" s="8" t="s">
        <v>19</v>
      </c>
      <c r="C5" s="8" t="s">
        <v>20</v>
      </c>
      <c r="D5" s="8">
        <v>4011</v>
      </c>
      <c r="E5" s="9">
        <v>45292</v>
      </c>
      <c r="F5" s="8"/>
      <c r="G5" s="10">
        <v>0.32</v>
      </c>
      <c r="H5" s="10">
        <f t="shared" si="1"/>
        <v>0.58400000000000007</v>
      </c>
      <c r="I5" s="10">
        <f t="shared" si="2"/>
        <v>0.53449999999999998</v>
      </c>
      <c r="J5" s="10">
        <f t="shared" si="3"/>
        <v>0.45199999999999996</v>
      </c>
      <c r="K5" s="11">
        <v>0.2</v>
      </c>
      <c r="L5" s="11"/>
      <c r="M5" s="11"/>
      <c r="N5" s="12" t="s">
        <v>21</v>
      </c>
      <c r="O5" s="13" t="s">
        <v>34</v>
      </c>
    </row>
    <row r="6" spans="1:15" ht="12" x14ac:dyDescent="0.3">
      <c r="A6" s="7" t="str">
        <f t="shared" si="0"/>
        <v>16</v>
      </c>
      <c r="B6" s="8" t="s">
        <v>22</v>
      </c>
      <c r="C6" s="8" t="s">
        <v>23</v>
      </c>
      <c r="D6" s="8">
        <v>40114000</v>
      </c>
      <c r="E6" s="9">
        <v>43592</v>
      </c>
      <c r="F6" s="9">
        <v>45291</v>
      </c>
      <c r="G6" s="10">
        <v>0.6</v>
      </c>
      <c r="H6" s="10">
        <f t="shared" si="1"/>
        <v>0.87317073170731696</v>
      </c>
      <c r="I6" s="10">
        <f t="shared" si="2"/>
        <v>0.81463414634146325</v>
      </c>
      <c r="J6" s="10">
        <f t="shared" si="3"/>
        <v>0.71707317073170729</v>
      </c>
      <c r="K6" s="11">
        <v>0.18</v>
      </c>
      <c r="L6" s="11"/>
      <c r="M6" s="11"/>
      <c r="N6" s="12" t="s">
        <v>24</v>
      </c>
      <c r="O6" s="13" t="s">
        <v>18</v>
      </c>
    </row>
    <row r="7" spans="1:15" ht="12" x14ac:dyDescent="0.3">
      <c r="A7" s="7" t="str">
        <f t="shared" si="0"/>
        <v>16</v>
      </c>
      <c r="B7" s="8" t="s">
        <v>22</v>
      </c>
      <c r="C7" s="8" t="s">
        <v>23</v>
      </c>
      <c r="D7" s="8">
        <v>40114000</v>
      </c>
      <c r="E7" s="9">
        <v>45292</v>
      </c>
      <c r="F7" s="8"/>
      <c r="G7" s="10">
        <v>0.6</v>
      </c>
      <c r="H7" s="10">
        <f t="shared" si="1"/>
        <v>0.91999999999999993</v>
      </c>
      <c r="I7" s="10">
        <f t="shared" si="2"/>
        <v>0.85999999999999988</v>
      </c>
      <c r="J7" s="10">
        <f t="shared" si="3"/>
        <v>0.76</v>
      </c>
      <c r="K7" s="11">
        <v>0.2</v>
      </c>
      <c r="L7" s="11"/>
      <c r="M7" s="11"/>
      <c r="N7" s="12" t="s">
        <v>24</v>
      </c>
      <c r="O7" s="13" t="s">
        <v>34</v>
      </c>
    </row>
    <row r="8" spans="1:15" ht="12" x14ac:dyDescent="0.3">
      <c r="A8" s="7" t="str">
        <f t="shared" si="0"/>
        <v>16</v>
      </c>
      <c r="B8" s="8" t="s">
        <v>25</v>
      </c>
      <c r="C8" s="8" t="s">
        <v>26</v>
      </c>
      <c r="D8" s="8">
        <v>4011</v>
      </c>
      <c r="E8" s="9">
        <v>43592</v>
      </c>
      <c r="F8" s="9">
        <v>45291</v>
      </c>
      <c r="G8" s="10">
        <v>0.45</v>
      </c>
      <c r="H8" s="10">
        <f t="shared" si="1"/>
        <v>0.69756097560975583</v>
      </c>
      <c r="I8" s="10">
        <f t="shared" si="2"/>
        <v>0.64451219512195079</v>
      </c>
      <c r="J8" s="10">
        <f t="shared" si="3"/>
        <v>0.55609756097560958</v>
      </c>
      <c r="K8" s="11">
        <v>0.18</v>
      </c>
      <c r="L8" s="11"/>
      <c r="M8" s="11"/>
      <c r="N8" s="12" t="s">
        <v>27</v>
      </c>
      <c r="O8" s="13" t="s">
        <v>18</v>
      </c>
    </row>
    <row r="9" spans="1:15" ht="12" x14ac:dyDescent="0.3">
      <c r="A9" s="7" t="str">
        <f t="shared" si="0"/>
        <v>16</v>
      </c>
      <c r="B9" s="8" t="s">
        <v>25</v>
      </c>
      <c r="C9" s="8" t="s">
        <v>26</v>
      </c>
      <c r="D9" s="8">
        <v>4011</v>
      </c>
      <c r="E9" s="9">
        <v>45292</v>
      </c>
      <c r="F9" s="8"/>
      <c r="G9" s="10">
        <v>0.45</v>
      </c>
      <c r="H9" s="10">
        <f t="shared" si="1"/>
        <v>0.73999999999999977</v>
      </c>
      <c r="I9" s="10">
        <f t="shared" si="2"/>
        <v>0.68562499999999971</v>
      </c>
      <c r="J9" s="10">
        <f t="shared" si="3"/>
        <v>0.59499999999999997</v>
      </c>
      <c r="K9" s="11">
        <v>0.2</v>
      </c>
      <c r="L9" s="11"/>
      <c r="M9" s="11"/>
      <c r="N9" s="12" t="s">
        <v>27</v>
      </c>
      <c r="O9" s="13" t="s">
        <v>34</v>
      </c>
    </row>
    <row r="10" spans="1:15" ht="12" x14ac:dyDescent="0.3">
      <c r="A10" s="7" t="str">
        <f t="shared" si="0"/>
        <v>16</v>
      </c>
      <c r="B10" s="8" t="s">
        <v>28</v>
      </c>
      <c r="C10" s="8" t="s">
        <v>29</v>
      </c>
      <c r="D10" s="8">
        <v>401290</v>
      </c>
      <c r="E10" s="9">
        <v>43592</v>
      </c>
      <c r="F10" s="9">
        <v>45291</v>
      </c>
      <c r="G10" s="10">
        <v>0.45</v>
      </c>
      <c r="H10" s="10">
        <f t="shared" si="1"/>
        <v>0.69756097560975583</v>
      </c>
      <c r="I10" s="10">
        <f t="shared" si="2"/>
        <v>0.64451219512195079</v>
      </c>
      <c r="J10" s="10">
        <f t="shared" si="3"/>
        <v>0.55609756097560958</v>
      </c>
      <c r="K10" s="11">
        <v>0.18</v>
      </c>
      <c r="L10" s="11"/>
      <c r="M10" s="11"/>
      <c r="N10" s="12" t="s">
        <v>30</v>
      </c>
      <c r="O10" s="13" t="s">
        <v>18</v>
      </c>
    </row>
    <row r="11" spans="1:15" ht="12" x14ac:dyDescent="0.3">
      <c r="A11" s="7" t="str">
        <f t="shared" si="0"/>
        <v>16</v>
      </c>
      <c r="B11" s="8" t="s">
        <v>28</v>
      </c>
      <c r="C11" s="8" t="s">
        <v>29</v>
      </c>
      <c r="D11" s="8">
        <v>401290</v>
      </c>
      <c r="E11" s="9">
        <v>45292</v>
      </c>
      <c r="F11" s="8"/>
      <c r="G11" s="10">
        <v>0.45</v>
      </c>
      <c r="H11" s="10">
        <f t="shared" si="1"/>
        <v>0.73999999999999977</v>
      </c>
      <c r="I11" s="10">
        <f t="shared" si="2"/>
        <v>0.68562499999999971</v>
      </c>
      <c r="J11" s="10">
        <f t="shared" si="3"/>
        <v>0.59499999999999997</v>
      </c>
      <c r="K11" s="11">
        <v>0.2</v>
      </c>
      <c r="L11" s="11"/>
      <c r="M11" s="11"/>
      <c r="N11" s="12" t="s">
        <v>30</v>
      </c>
      <c r="O11" s="13" t="s">
        <v>34</v>
      </c>
    </row>
    <row r="12" spans="1:15" ht="12" x14ac:dyDescent="0.3">
      <c r="A12" s="7" t="str">
        <f t="shared" si="0"/>
        <v>16</v>
      </c>
      <c r="B12" s="8" t="s">
        <v>31</v>
      </c>
      <c r="C12" s="8" t="s">
        <v>32</v>
      </c>
      <c r="D12" s="8">
        <v>4013</v>
      </c>
      <c r="E12" s="9">
        <v>43592</v>
      </c>
      <c r="F12" s="9">
        <v>45291</v>
      </c>
      <c r="G12" s="10">
        <v>0.45</v>
      </c>
      <c r="H12" s="10">
        <f t="shared" si="1"/>
        <v>0.69756097560975583</v>
      </c>
      <c r="I12" s="10">
        <f t="shared" si="2"/>
        <v>0.64451219512195079</v>
      </c>
      <c r="J12" s="10">
        <f t="shared" si="3"/>
        <v>0.55609756097560958</v>
      </c>
      <c r="K12" s="11">
        <v>0.18</v>
      </c>
      <c r="L12" s="11"/>
      <c r="M12" s="11"/>
      <c r="N12" s="12" t="s">
        <v>33</v>
      </c>
      <c r="O12" s="13" t="s">
        <v>18</v>
      </c>
    </row>
    <row r="13" spans="1:15" ht="12" x14ac:dyDescent="0.3">
      <c r="A13" s="7" t="str">
        <f t="shared" si="0"/>
        <v>16</v>
      </c>
      <c r="B13" s="8" t="s">
        <v>31</v>
      </c>
      <c r="C13" s="8" t="s">
        <v>32</v>
      </c>
      <c r="D13" s="8">
        <v>4013</v>
      </c>
      <c r="E13" s="9">
        <v>45292</v>
      </c>
      <c r="F13" s="8"/>
      <c r="G13" s="10">
        <v>0.45</v>
      </c>
      <c r="H13" s="10">
        <f t="shared" si="1"/>
        <v>0.73999999999999977</v>
      </c>
      <c r="I13" s="10">
        <f t="shared" si="2"/>
        <v>0.68562499999999971</v>
      </c>
      <c r="J13" s="10">
        <f t="shared" si="3"/>
        <v>0.59499999999999997</v>
      </c>
      <c r="K13" s="11">
        <v>0.2</v>
      </c>
      <c r="L13" s="11"/>
      <c r="M13" s="11"/>
      <c r="N13" s="12" t="s">
        <v>33</v>
      </c>
      <c r="O13" s="13" t="s">
        <v>34</v>
      </c>
    </row>
  </sheetData>
  <sheetProtection password="F150" sheet="1" objects="1" scenarios="1"/>
  <sortState ref="A2:O13">
    <sortCondition ref="B2:B13"/>
    <sortCondition ref="C2:C13"/>
    <sortCondition ref="D2:D13"/>
    <sortCondition ref="E2:E1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Pneumatico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2019-07-04T13:54:53Z</dcterms:created>
  <dcterms:modified xsi:type="dcterms:W3CDTF">2025-02-27T12:21:16Z</dcterms:modified>
</cp:coreProperties>
</file>