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Veic_2 e 3 rodas" sheetId="1" r:id="rId1"/>
  </sheets>
  <calcPr calcId="145621"/>
</workbook>
</file>

<file path=xl/calcChain.xml><?xml version="1.0" encoding="utf-8"?>
<calcChain xmlns="http://schemas.openxmlformats.org/spreadsheetml/2006/main">
  <c r="J6" i="1" l="1"/>
  <c r="I6" i="1"/>
  <c r="H6" i="1"/>
  <c r="A6" i="1"/>
  <c r="J4" i="1"/>
  <c r="I4" i="1"/>
  <c r="H4" i="1"/>
  <c r="A4" i="1"/>
  <c r="A5" i="1" l="1"/>
  <c r="H5" i="1"/>
  <c r="I5" i="1"/>
  <c r="J5" i="1"/>
  <c r="A3" i="1"/>
  <c r="H3" i="1"/>
  <c r="I3" i="1"/>
  <c r="J3" i="1"/>
  <c r="J2" i="1" l="1"/>
  <c r="I2" i="1"/>
  <c r="H2" i="1"/>
  <c r="A2" i="1"/>
</calcChain>
</file>

<file path=xl/sharedStrings.xml><?xml version="1.0" encoding="utf-8"?>
<sst xmlns="http://schemas.openxmlformats.org/spreadsheetml/2006/main" count="35" uniqueCount="25">
  <si>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</si>
  <si>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</si>
  <si>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</si>
  <si>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</si>
  <si>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</si>
  <si>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</si>
  <si>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</si>
  <si>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</si>
  <si>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</si>
  <si>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</si>
  <si>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</si>
  <si>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</si>
  <si>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</si>
  <si>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</si>
  <si>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</si>
  <si>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</si>
  <si>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26.001.00</t>
  </si>
  <si>
    <t>Motocicletas (incluídos os ciclomotores) e outros ciclos equipados com motor auxiliar, mesmo com carro lateral; carros laterais</t>
  </si>
  <si>
    <t>1.1</t>
  </si>
  <si>
    <t>26.001.01</t>
  </si>
  <si>
    <t>Motocicletas (incluídos os ciclomotores) e outros ciclos equipados com motor auxiliar, mesmo com carro lateral, exceto os classificados  no CEST 26.001.01; carros laterais</t>
  </si>
  <si>
    <t>DECRETO ICMS/PB Nº 39.158// DECRETO 42.400/22</t>
  </si>
  <si>
    <t>DECRETO ICMS/PB Nº 42.400/22</t>
  </si>
  <si>
    <t>Bicicletas e outros ciclos ( incluídos os triciclos) com propulsão de motor elétrico auxiliar assistido pela força humana.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</si>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</sst>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9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zoomScale="90" zoomScaleNormal="90" workbookViewId="0">
      <pane ySplit="1" topLeftCell="A2" activePane="bottomLeft" state="frozen"/>
      <selection pane="bottomLeft" activeCell="I11" sqref="I11"/>
    </sheetView>
  </sheetViews>
  <sheetFormatPr defaultColWidth="9.1796875" defaultRowHeight="14.5" x14ac:dyDescent="0.35"/>
  <cols>
    <col min="1" max="1" width="6.54296875" style="5" bestFit="1" customWidth="1"/>
    <col min="2" max="2" width="4.7265625" style="5" bestFit="1" customWidth="1"/>
    <col min="3" max="3" width="7.81640625" style="5" bestFit="1" customWidth="1"/>
    <col min="4" max="4" width="7.1796875" style="5" bestFit="1" customWidth="1"/>
    <col min="5" max="5" width="9.26953125" style="5" bestFit="1" customWidth="1"/>
    <col min="6" max="6" width="9.26953125" style="12" bestFit="1" customWidth="1"/>
    <col min="7" max="7" width="6.54296875" style="5" bestFit="1" customWidth="1"/>
    <col min="8" max="10" width="7.54296875" style="5" bestFit="1" customWidth="1"/>
    <col min="11" max="11" width="6.1796875" style="13" bestFit="1" customWidth="1"/>
    <col min="12" max="12" width="6" style="5" bestFit="1" customWidth="1"/>
    <col min="13" max="13" width="5" style="5" bestFit="1" customWidth="1"/>
    <col min="14" max="14" width="93.81640625" style="14" customWidth="1"/>
    <col min="15" max="15" width="36.26953125" style="5" customWidth="1"/>
    <col min="16" max="16384" width="9.1796875" style="5"/>
  </cols>
  <sheetData>
    <row r="1" spans="1:15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4" t="s">
        <v>13</v>
      </c>
      <c r="O1" s="1" t="s">
        <v>14</v>
      </c>
    </row>
    <row r="2" spans="1:15" ht="12" x14ac:dyDescent="0.3">
      <c r="A2" s="6" t="str">
        <f>LEFT(C2,2)</f>
        <v>26</v>
      </c>
      <c r="B2" s="7" t="s">
        <v>15</v>
      </c>
      <c r="C2" s="7" t="s">
        <v>16</v>
      </c>
      <c r="D2" s="7">
        <v>8711</v>
      </c>
      <c r="E2" s="8">
        <v>43592</v>
      </c>
      <c r="F2" s="8">
        <v>44620</v>
      </c>
      <c r="G2" s="9">
        <v>0.34</v>
      </c>
      <c r="H2" s="9">
        <f>((1+G2)*(1-4%)/(1-K2))-1</f>
        <v>0.56878048780487789</v>
      </c>
      <c r="I2" s="9">
        <f>((1+G2)*(1-7%)/(1-K2))-1</f>
        <v>0.51975609756097541</v>
      </c>
      <c r="J2" s="9">
        <f>((1+G2)*(1-12%)/(1-K2))-1</f>
        <v>0.43804878048780482</v>
      </c>
      <c r="K2" s="10">
        <v>0.18</v>
      </c>
      <c r="L2" s="11"/>
      <c r="M2" s="11"/>
      <c r="N2" s="7" t="s">
        <v>17</v>
      </c>
      <c r="O2" s="11" t="s">
        <v>21</v>
      </c>
    </row>
    <row r="3" spans="1:15" ht="24" x14ac:dyDescent="0.3">
      <c r="A3" s="6" t="str">
        <f>LEFT(C3,2)</f>
        <v>26</v>
      </c>
      <c r="B3" s="7" t="s">
        <v>15</v>
      </c>
      <c r="C3" s="7" t="s">
        <v>16</v>
      </c>
      <c r="D3" s="7">
        <v>8711</v>
      </c>
      <c r="E3" s="8">
        <v>44621</v>
      </c>
      <c r="F3" s="8">
        <v>45291</v>
      </c>
      <c r="G3" s="9">
        <v>0.34</v>
      </c>
      <c r="H3" s="9">
        <f>((1+G3)*(1-4%)/(1-K3))-1</f>
        <v>0.56878048780487789</v>
      </c>
      <c r="I3" s="9">
        <f>((1+G3)*(1-7%)/(1-K3))-1</f>
        <v>0.51975609756097541</v>
      </c>
      <c r="J3" s="9">
        <f>((1+G3)*(1-12%)/(1-K3))-1</f>
        <v>0.43804878048780482</v>
      </c>
      <c r="K3" s="10">
        <v>0.18</v>
      </c>
      <c r="L3" s="11"/>
      <c r="M3" s="11"/>
      <c r="N3" s="7" t="s">
        <v>20</v>
      </c>
      <c r="O3" s="11" t="s">
        <v>22</v>
      </c>
    </row>
    <row r="4" spans="1:15" ht="24" x14ac:dyDescent="0.3">
      <c r="A4" s="6" t="str">
        <f>LEFT(C4,2)</f>
        <v>26</v>
      </c>
      <c r="B4" s="7" t="s">
        <v>15</v>
      </c>
      <c r="C4" s="7" t="s">
        <v>16</v>
      </c>
      <c r="D4" s="7">
        <v>8711</v>
      </c>
      <c r="E4" s="8">
        <v>45292</v>
      </c>
      <c r="F4" s="7"/>
      <c r="G4" s="9">
        <v>0.34</v>
      </c>
      <c r="H4" s="9">
        <f>((1+G4)*(1-4%)/(1-K4))-1</f>
        <v>0.60799999999999987</v>
      </c>
      <c r="I4" s="9">
        <f>((1+G4)*(1-7%)/(1-K4))-1</f>
        <v>0.55774999999999997</v>
      </c>
      <c r="J4" s="9">
        <f>((1+G4)*(1-12%)/(1-K4))-1</f>
        <v>0.47399999999999998</v>
      </c>
      <c r="K4" s="10">
        <v>0.2</v>
      </c>
      <c r="L4" s="11"/>
      <c r="M4" s="11"/>
      <c r="N4" s="7" t="s">
        <v>20</v>
      </c>
      <c r="O4" s="11" t="s">
        <v>24</v>
      </c>
    </row>
    <row r="5" spans="1:15" ht="12" x14ac:dyDescent="0.3">
      <c r="A5" s="6" t="str">
        <f>LEFT(C5,2)</f>
        <v>26</v>
      </c>
      <c r="B5" s="7" t="s">
        <v>18</v>
      </c>
      <c r="C5" s="7" t="s">
        <v>19</v>
      </c>
      <c r="D5" s="7">
        <v>8711</v>
      </c>
      <c r="E5" s="8">
        <v>44621</v>
      </c>
      <c r="F5" s="8">
        <v>45291</v>
      </c>
      <c r="G5" s="9">
        <v>0.34</v>
      </c>
      <c r="H5" s="9">
        <f>((1+G5)*(1-4%)/(1-K5))-1</f>
        <v>0.56878048780487789</v>
      </c>
      <c r="I5" s="9">
        <f>((1+G5)*(1-7%)/(1-K5))-1</f>
        <v>0.51975609756097541</v>
      </c>
      <c r="J5" s="9">
        <f>((1+G5)*(1-12%)/(1-K5))-1</f>
        <v>0.43804878048780482</v>
      </c>
      <c r="K5" s="10">
        <v>0.18</v>
      </c>
      <c r="L5" s="11"/>
      <c r="M5" s="11"/>
      <c r="N5" s="7" t="s">
        <v>23</v>
      </c>
      <c r="O5" s="11" t="s">
        <v>22</v>
      </c>
    </row>
    <row r="6" spans="1:15" ht="12" x14ac:dyDescent="0.3">
      <c r="A6" s="6" t="str">
        <f>LEFT(C6,2)</f>
        <v>26</v>
      </c>
      <c r="B6" s="7" t="s">
        <v>18</v>
      </c>
      <c r="C6" s="7" t="s">
        <v>19</v>
      </c>
      <c r="D6" s="7">
        <v>8711</v>
      </c>
      <c r="E6" s="8">
        <v>45292</v>
      </c>
      <c r="F6" s="7"/>
      <c r="G6" s="9">
        <v>0.34</v>
      </c>
      <c r="H6" s="9">
        <f>((1+G6)*(1-4%)/(1-K6))-1</f>
        <v>0.60799999999999987</v>
      </c>
      <c r="I6" s="9">
        <f>((1+G6)*(1-7%)/(1-K6))-1</f>
        <v>0.55774999999999997</v>
      </c>
      <c r="J6" s="9">
        <f>((1+G6)*(1-12%)/(1-K6))-1</f>
        <v>0.47399999999999998</v>
      </c>
      <c r="K6" s="10">
        <v>0.2</v>
      </c>
      <c r="L6" s="11"/>
      <c r="M6" s="11"/>
      <c r="N6" s="7" t="s">
        <v>23</v>
      </c>
      <c r="O6" s="11" t="s">
        <v>24</v>
      </c>
    </row>
  </sheetData>
  <sheetProtection password="F150" sheet="1" objects="1" scenarios="1"/>
  <sortState ref="A2:O6">
    <sortCondition ref="B2:B6"/>
    <sortCondition ref="C2:C6"/>
    <sortCondition ref="D2:D6"/>
    <sortCondition ref="E2:E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Veic_2 e 3 rodas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2019-07-04T14:02:27Z</dcterms:created>
  <dcterms:modified xsi:type="dcterms:W3CDTF">2025-02-27T12:25:01Z</dcterms:modified>
</cp:coreProperties>
</file>