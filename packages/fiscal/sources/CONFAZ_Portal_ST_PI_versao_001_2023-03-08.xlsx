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sanaleal\Documents\"/>
    </mc:Choice>
  </mc:AlternateContent>
  <bookViews>
    <workbookView xWindow="0" yWindow="0" windowWidth="15360" windowHeight="7620" tabRatio="839" activeTab="7"/>
  </bookViews>
  <sheets>
    <sheet name="Leiaute" sheetId="23" r:id="rId1"/>
    <sheet name="Autopecas" sheetId="70" r:id="rId2"/>
    <sheet name="ÁGUAS E BEBIDAS FRIAS" sheetId="74" r:id="rId3"/>
    <sheet name="Bebidas Quentes" sheetId="60" r:id="rId4"/>
    <sheet name="Cigarro" sheetId="19" r:id="rId5"/>
    <sheet name="Cimentos" sheetId="68" r:id="rId6"/>
    <sheet name="Derivados de Trigo " sheetId="76" r:id="rId7"/>
    <sheet name="Farinha de trigo" sheetId="77" r:id="rId8"/>
    <sheet name="Lampadas" sheetId="65" r:id="rId9"/>
    <sheet name="Medicamento" sheetId="32" r:id="rId10"/>
    <sheet name="Medicamento (TABELA XI ANEXO V-" sheetId="75" r:id="rId11"/>
    <sheet name="Pneu" sheetId="44" r:id="rId12"/>
    <sheet name="HPPC" sheetId="43" r:id="rId13"/>
    <sheet name="Racoes" sheetId="48" r:id="rId14"/>
    <sheet name="Sorvetes" sheetId="49" r:id="rId15"/>
    <sheet name="Tintas" sheetId="52" r:id="rId16"/>
    <sheet name="Automoveis" sheetId="72" r:id="rId17"/>
    <sheet name="Motos" sheetId="71" r:id="rId18"/>
  </sheets>
  <definedNames>
    <definedName name="_xlnm._FilterDatabase" localSheetId="16" hidden="1">Automoveis!$B$7:$J$28</definedName>
    <definedName name="_xlnm._FilterDatabase" localSheetId="1" hidden="1">Autopecas!$A$7:$Q$139</definedName>
    <definedName name="_xlnm._FilterDatabase" localSheetId="3" hidden="1">'Bebidas Quentes'!$B$7:$O$32</definedName>
    <definedName name="_xlnm._FilterDatabase" localSheetId="12" hidden="1">HPPC!$B$6:$L$6</definedName>
    <definedName name="_xlnm._FilterDatabase" localSheetId="9" hidden="1">Medicamento!$A$7:$K$33</definedName>
    <definedName name="_xlnm._FilterDatabase" localSheetId="10" hidden="1">'Medicamento (TABELA XI ANEXO V-'!$A$7:$K$33</definedName>
    <definedName name="_xlnm._FilterDatabase" localSheetId="11" hidden="1">Pneu!$B$7:$L$14</definedName>
    <definedName name="_xlnm._FilterDatabase" localSheetId="14" hidden="1">Sorvetes!$B$7:$L$9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77" l="1"/>
  <c r="B10" i="77" s="1"/>
  <c r="B11" i="77" s="1"/>
  <c r="B12" i="77" s="1"/>
  <c r="I81" i="76" l="1"/>
  <c r="H81" i="76"/>
  <c r="I80" i="76"/>
  <c r="H80" i="76"/>
  <c r="I79" i="76"/>
  <c r="H79" i="76"/>
  <c r="I78" i="76"/>
  <c r="H78" i="76"/>
  <c r="I77" i="76"/>
  <c r="H77" i="76"/>
  <c r="I76" i="76"/>
  <c r="H76" i="76"/>
  <c r="I75" i="76"/>
  <c r="H75" i="76"/>
  <c r="I74" i="76"/>
  <c r="H74" i="76"/>
  <c r="I73" i="76"/>
  <c r="H73" i="76"/>
  <c r="I72" i="76"/>
  <c r="H72" i="76"/>
  <c r="I71" i="76"/>
  <c r="H71" i="76"/>
  <c r="I70" i="76"/>
  <c r="H70" i="76"/>
  <c r="I69" i="76"/>
  <c r="H69" i="76"/>
  <c r="I68" i="76"/>
  <c r="H68" i="76"/>
  <c r="I67" i="76"/>
  <c r="H67" i="76"/>
  <c r="I66" i="76"/>
  <c r="H66" i="76"/>
  <c r="I65" i="76"/>
  <c r="H65" i="76"/>
  <c r="I64" i="76"/>
  <c r="H64" i="76"/>
  <c r="I63" i="76"/>
  <c r="H63" i="76"/>
  <c r="I62" i="76"/>
  <c r="H62" i="76"/>
  <c r="I61" i="76"/>
  <c r="H61" i="76"/>
  <c r="I60" i="76"/>
  <c r="H60" i="76"/>
  <c r="I59" i="76"/>
  <c r="H59" i="76"/>
  <c r="I58" i="76"/>
  <c r="H58" i="76"/>
  <c r="I57" i="76"/>
  <c r="H57" i="76"/>
  <c r="I56" i="76"/>
  <c r="H56" i="76"/>
  <c r="I55" i="76"/>
  <c r="H55" i="76"/>
  <c r="I54" i="76"/>
  <c r="H54" i="76"/>
  <c r="I53" i="76"/>
  <c r="H53" i="76"/>
  <c r="I52" i="76"/>
  <c r="H52" i="76"/>
  <c r="I51" i="76"/>
  <c r="H51" i="76"/>
  <c r="I50" i="76"/>
  <c r="H50" i="76"/>
  <c r="I49" i="76"/>
  <c r="H49" i="76"/>
  <c r="I48" i="76"/>
  <c r="H48" i="76"/>
  <c r="I47" i="76"/>
  <c r="H47" i="76"/>
  <c r="I46" i="76"/>
  <c r="H46" i="76"/>
  <c r="I45" i="76"/>
  <c r="H45" i="76"/>
  <c r="I44" i="76"/>
  <c r="H44" i="76"/>
  <c r="I43" i="76"/>
  <c r="H43" i="76"/>
  <c r="I42" i="76"/>
  <c r="H42" i="76"/>
  <c r="I41" i="76"/>
  <c r="H41" i="76"/>
  <c r="I40" i="76"/>
  <c r="H40" i="76"/>
  <c r="I39" i="76"/>
  <c r="H39" i="76"/>
  <c r="I38" i="76"/>
  <c r="H38" i="76"/>
  <c r="I37" i="76"/>
  <c r="H37" i="76"/>
  <c r="I36" i="76"/>
  <c r="H36" i="76"/>
  <c r="I35" i="76"/>
  <c r="H35" i="76"/>
  <c r="I34" i="76"/>
  <c r="H34" i="76"/>
  <c r="I33" i="76"/>
  <c r="H33" i="76"/>
  <c r="I32" i="76"/>
  <c r="H32" i="76"/>
  <c r="I31" i="76"/>
  <c r="H31" i="76"/>
  <c r="I30" i="76"/>
  <c r="H30" i="76"/>
  <c r="I29" i="76"/>
  <c r="H29" i="76"/>
  <c r="I28" i="76"/>
  <c r="H28" i="76"/>
  <c r="I27" i="76"/>
  <c r="H27" i="76"/>
  <c r="I26" i="76"/>
  <c r="H26" i="76"/>
  <c r="I25" i="76"/>
  <c r="H25" i="76"/>
  <c r="I24" i="76"/>
  <c r="H24" i="76"/>
  <c r="I23" i="76"/>
  <c r="H23" i="76"/>
  <c r="I22" i="76"/>
  <c r="H22" i="76"/>
  <c r="I21" i="76"/>
  <c r="H21" i="76"/>
  <c r="I20" i="76"/>
  <c r="H20" i="76"/>
  <c r="I19" i="76"/>
  <c r="H19" i="76"/>
  <c r="I18" i="76"/>
  <c r="H18" i="76"/>
  <c r="I17" i="76"/>
  <c r="H17" i="76"/>
  <c r="I16" i="76"/>
  <c r="H16" i="76"/>
  <c r="I15" i="76"/>
  <c r="H15" i="76"/>
  <c r="I14" i="76"/>
  <c r="H14" i="76"/>
  <c r="I13" i="76"/>
  <c r="H13" i="76"/>
  <c r="I12" i="76"/>
  <c r="H12" i="76"/>
  <c r="I11" i="76"/>
  <c r="H11" i="76"/>
  <c r="I10" i="76"/>
  <c r="H10" i="76"/>
  <c r="I9" i="76"/>
  <c r="H9" i="76"/>
  <c r="B8" i="65" l="1"/>
  <c r="B9" i="65"/>
  <c r="B10" i="65"/>
  <c r="B11" i="65" s="1"/>
  <c r="B9" i="72"/>
  <c r="B10" i="72"/>
  <c r="B11" i="72" s="1"/>
  <c r="B12" i="72" s="1"/>
  <c r="B13" i="72" s="1"/>
  <c r="B14" i="72" s="1"/>
  <c r="B15" i="72" s="1"/>
  <c r="B16" i="72" s="1"/>
  <c r="B17" i="72" s="1"/>
  <c r="B18" i="72" s="1"/>
  <c r="B19" i="72" s="1"/>
  <c r="B20" i="72" s="1"/>
  <c r="B21" i="72" s="1"/>
  <c r="B22" i="72" s="1"/>
  <c r="B23" i="72" s="1"/>
  <c r="B24" i="72" s="1"/>
  <c r="B25" i="72" s="1"/>
  <c r="B26" i="72" s="1"/>
  <c r="B27" i="72" s="1"/>
  <c r="B28" i="72" s="1"/>
  <c r="B29" i="72" s="1"/>
  <c r="B30" i="72" s="1"/>
  <c r="B31" i="72" s="1"/>
  <c r="B32" i="72" s="1"/>
  <c r="B33" i="72" s="1"/>
  <c r="B34" i="72" s="1"/>
  <c r="B35" i="72" s="1"/>
  <c r="B36" i="72" s="1"/>
  <c r="B9" i="44"/>
  <c r="B10" i="44" s="1"/>
  <c r="B11" i="44" s="1"/>
  <c r="B12" i="44" s="1"/>
  <c r="B13" i="44" s="1"/>
  <c r="B14" i="44" s="1"/>
</calcChain>
</file>

<file path=xl/comments1.xml><?xml version="1.0" encoding="utf-8"?>
<comments xmlns="http://schemas.openxmlformats.org/spreadsheetml/2006/main">
  <authors>
    <author/>
  </authors>
  <commentList>
    <comment ref="H7" authorId="0" shapeId="0">
      <text>
        <r>
          <rPr>
            <sz val="10"/>
            <color rgb="FF000000"/>
            <rFont val="Calibri"/>
            <scheme val="minor"/>
          </rPr>
          <t>Valores vigentes a partir de 01/07/2023
	-Lilianne Nonato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C45" authorId="0" shapeId="0">
      <text>
        <r>
          <rPr>
            <sz val="10"/>
            <color rgb="FF000000"/>
            <rFont val="Calibri"/>
            <family val="2"/>
            <scheme val="minor"/>
          </rPr>
          <t>NCM 4015.11.00 foi extinto na TIPI 2022, efeitos a partir de 02.05.22
	-Lilianne Nonato</t>
        </r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C46" authorId="0" shapeId="0">
      <text>
        <r>
          <rPr>
            <sz val="10"/>
            <color rgb="FF000000"/>
            <rFont val="Calibri"/>
            <family val="2"/>
            <scheme val="minor"/>
          </rPr>
          <t>NCM 4015.11.00 foi extinto na TIPI 2022, efeitos a partir de 02.05.22
	-Lilianne Nonato</t>
        </r>
      </text>
    </comment>
  </commentList>
</comments>
</file>

<file path=xl/sharedStrings.xml><?xml version="1.0" encoding="utf-8"?>
<sst xmlns="http://schemas.openxmlformats.org/spreadsheetml/2006/main" count="2375" uniqueCount="1362">
  <si>
    <t>CEST</t>
  </si>
  <si>
    <t>S</t>
  </si>
  <si>
    <t>Orientação de Preenchimento e Legenda</t>
  </si>
  <si>
    <t>-</t>
  </si>
  <si>
    <t>Descrição</t>
  </si>
  <si>
    <t>Op. Interna</t>
  </si>
  <si>
    <t xml:space="preserve">Alíq. Interna </t>
  </si>
  <si>
    <t>...</t>
  </si>
  <si>
    <t>01.001.00</t>
  </si>
  <si>
    <t>01.002.00</t>
  </si>
  <si>
    <t>01.003.00</t>
  </si>
  <si>
    <t>01.004.00</t>
  </si>
  <si>
    <t>01.005.00</t>
  </si>
  <si>
    <t>01.006.00</t>
  </si>
  <si>
    <t>01.007.00</t>
  </si>
  <si>
    <t>01.008.00</t>
  </si>
  <si>
    <t>01.009.00</t>
  </si>
  <si>
    <t>01.010.00</t>
  </si>
  <si>
    <t>01.011.00</t>
  </si>
  <si>
    <t>01.012.00</t>
  </si>
  <si>
    <t>01.013.00</t>
  </si>
  <si>
    <t>01.014.00</t>
  </si>
  <si>
    <t>01.015.00</t>
  </si>
  <si>
    <t>01.016.00</t>
  </si>
  <si>
    <t>01.017.00</t>
  </si>
  <si>
    <t>01.018.00</t>
  </si>
  <si>
    <t>01.019.00</t>
  </si>
  <si>
    <t>01.020.00</t>
  </si>
  <si>
    <t>01.022.00</t>
  </si>
  <si>
    <t>01.023.00</t>
  </si>
  <si>
    <t>01.024.00</t>
  </si>
  <si>
    <t>01.025.00</t>
  </si>
  <si>
    <t>01.026.00</t>
  </si>
  <si>
    <t>01.027.00</t>
  </si>
  <si>
    <t>01.028.00</t>
  </si>
  <si>
    <t>01.029.00</t>
  </si>
  <si>
    <t>01.030.00</t>
  </si>
  <si>
    <t>01.031.00</t>
  </si>
  <si>
    <t>01.032.00</t>
  </si>
  <si>
    <t>01.033.00</t>
  </si>
  <si>
    <t>01.034.00</t>
  </si>
  <si>
    <t>01.035.00</t>
  </si>
  <si>
    <t>01.036.00</t>
  </si>
  <si>
    <t>01.037.00</t>
  </si>
  <si>
    <t>01.038.00</t>
  </si>
  <si>
    <t>01.039.00</t>
  </si>
  <si>
    <t>01.040.00</t>
  </si>
  <si>
    <t>01.041.00</t>
  </si>
  <si>
    <t>01.042.00</t>
  </si>
  <si>
    <t>01.043.00</t>
  </si>
  <si>
    <t>01.044.00</t>
  </si>
  <si>
    <t>01.045.00</t>
  </si>
  <si>
    <t>01.045.01</t>
  </si>
  <si>
    <t>01.046.00</t>
  </si>
  <si>
    <t>01.047.00</t>
  </si>
  <si>
    <t>01.048.00</t>
  </si>
  <si>
    <t>01.049.00</t>
  </si>
  <si>
    <t>01.050.00</t>
  </si>
  <si>
    <t>01.051.00</t>
  </si>
  <si>
    <t>01.052.00</t>
  </si>
  <si>
    <t>01.053.00</t>
  </si>
  <si>
    <t>01.054.00</t>
  </si>
  <si>
    <t>01.055.00</t>
  </si>
  <si>
    <t>01.056.00</t>
  </si>
  <si>
    <t>01.057.00</t>
  </si>
  <si>
    <t>01.058.00</t>
  </si>
  <si>
    <t>01.059.00</t>
  </si>
  <si>
    <t>01.060.00</t>
  </si>
  <si>
    <t>01.061.00</t>
  </si>
  <si>
    <t>01.062.00</t>
  </si>
  <si>
    <t>01.062.01</t>
  </si>
  <si>
    <t>01.063.00</t>
  </si>
  <si>
    <t>01.064.00</t>
  </si>
  <si>
    <t>01.065.00</t>
  </si>
  <si>
    <t>01.066.00</t>
  </si>
  <si>
    <t>01.067.00</t>
  </si>
  <si>
    <t>01.068.00</t>
  </si>
  <si>
    <t>01.069.00</t>
  </si>
  <si>
    <t>01.070.00</t>
  </si>
  <si>
    <t>01.071.00</t>
  </si>
  <si>
    <t>01.072.00</t>
  </si>
  <si>
    <t>01.073.00</t>
  </si>
  <si>
    <t>01.074.00</t>
  </si>
  <si>
    <t>01.075.00</t>
  </si>
  <si>
    <t>01.076.00</t>
  </si>
  <si>
    <t>01.077.00</t>
  </si>
  <si>
    <t>01.078.00</t>
  </si>
  <si>
    <t>01.079.00</t>
  </si>
  <si>
    <t>01.080.00</t>
  </si>
  <si>
    <t>01.081.00</t>
  </si>
  <si>
    <t>01.082.00</t>
  </si>
  <si>
    <t>01.083.00</t>
  </si>
  <si>
    <t>01.084.00</t>
  </si>
  <si>
    <t>01.085.00</t>
  </si>
  <si>
    <t>01.086.00</t>
  </si>
  <si>
    <t>01.087.00</t>
  </si>
  <si>
    <t>01.088.00</t>
  </si>
  <si>
    <t>01.089.00</t>
  </si>
  <si>
    <t>01.090.00</t>
  </si>
  <si>
    <t>01.091.00</t>
  </si>
  <si>
    <t>01.092.00</t>
  </si>
  <si>
    <t>01.093.00</t>
  </si>
  <si>
    <t>01.094.00</t>
  </si>
  <si>
    <t>01.095.00</t>
  </si>
  <si>
    <t>01.096.00</t>
  </si>
  <si>
    <t>01.097.00</t>
  </si>
  <si>
    <t>01.098.00</t>
  </si>
  <si>
    <t>01.099.00</t>
  </si>
  <si>
    <t>01.100.00</t>
  </si>
  <si>
    <t>01.101.00</t>
  </si>
  <si>
    <t>01.102.00</t>
  </si>
  <si>
    <t>01.103.00</t>
  </si>
  <si>
    <t>01.104.00</t>
  </si>
  <si>
    <t>01.105.00</t>
  </si>
  <si>
    <t>01.106.00</t>
  </si>
  <si>
    <t>01.107.00</t>
  </si>
  <si>
    <t>01.108.00</t>
  </si>
  <si>
    <t>01.109.00</t>
  </si>
  <si>
    <t>01.110.00</t>
  </si>
  <si>
    <t>01.111.00</t>
  </si>
  <si>
    <t>01.112.00</t>
  </si>
  <si>
    <t>01.113.00</t>
  </si>
  <si>
    <t>01.114.00</t>
  </si>
  <si>
    <t>01.115.00</t>
  </si>
  <si>
    <t>01.116.00</t>
  </si>
  <si>
    <t>01.117.00</t>
  </si>
  <si>
    <t>01.118.00</t>
  </si>
  <si>
    <t>01.119.00</t>
  </si>
  <si>
    <t>01.120.00</t>
  </si>
  <si>
    <t>01.121.00</t>
  </si>
  <si>
    <t>01.122.00</t>
  </si>
  <si>
    <t>01.123.00</t>
  </si>
  <si>
    <t>01.124.00</t>
  </si>
  <si>
    <t>01.125.00</t>
  </si>
  <si>
    <t>01.126.00</t>
  </si>
  <si>
    <t>01.127.00</t>
  </si>
  <si>
    <t>01.128.00</t>
  </si>
  <si>
    <t>01.999.00</t>
  </si>
  <si>
    <t>N</t>
  </si>
  <si>
    <t>ITEM</t>
  </si>
  <si>
    <t>Item</t>
  </si>
  <si>
    <t>Regra Geral</t>
  </si>
  <si>
    <t>Índice Fidelização</t>
  </si>
  <si>
    <t>02.001.00</t>
  </si>
  <si>
    <t>02.002.00</t>
  </si>
  <si>
    <t>02.003.00</t>
  </si>
  <si>
    <t>02.004.00</t>
  </si>
  <si>
    <t>02.005.00</t>
  </si>
  <si>
    <t>02.006.00</t>
  </si>
  <si>
    <t>02.007.00</t>
  </si>
  <si>
    <t>02.008.00</t>
  </si>
  <si>
    <t>02.009.00</t>
  </si>
  <si>
    <t>02.010.00</t>
  </si>
  <si>
    <t>02.011.00</t>
  </si>
  <si>
    <t>02.012.00</t>
  </si>
  <si>
    <t>02.013.00</t>
  </si>
  <si>
    <t>02.014.00</t>
  </si>
  <si>
    <t>02.015.00</t>
  </si>
  <si>
    <t>02.016.00</t>
  </si>
  <si>
    <t>02.017.00</t>
  </si>
  <si>
    <t>02.018.00</t>
  </si>
  <si>
    <t>02.019.00</t>
  </si>
  <si>
    <t>02.020.00</t>
  </si>
  <si>
    <t>02.021.00</t>
  </si>
  <si>
    <t>02.022.00</t>
  </si>
  <si>
    <t>02.023.00</t>
  </si>
  <si>
    <t>02.024.00</t>
  </si>
  <si>
    <t>02.999.00</t>
  </si>
  <si>
    <r>
      <t xml:space="preserve">Versão: XXX </t>
    </r>
    <r>
      <rPr>
        <b/>
        <i/>
        <vertAlign val="superscript"/>
        <sz val="11"/>
        <color rgb="FFFF0000"/>
        <rFont val="Calibri"/>
        <family val="2"/>
        <scheme val="minor"/>
      </rPr>
      <t>(1)</t>
    </r>
  </si>
  <si>
    <t>Produção de efeitos a partir de __/__/____</t>
  </si>
  <si>
    <r>
      <t xml:space="preserve">ANEXO </t>
    </r>
    <r>
      <rPr>
        <b/>
        <i/>
        <vertAlign val="superscript"/>
        <sz val="10"/>
        <color rgb="FFFF0000"/>
        <rFont val="Arial"/>
        <family val="2"/>
      </rPr>
      <t>(3)</t>
    </r>
    <r>
      <rPr>
        <b/>
        <sz val="10"/>
        <color rgb="FF000000"/>
        <rFont val="Arial"/>
        <family val="2"/>
      </rPr>
      <t xml:space="preserve"> ___ – SEGMENTO: ______________________________________</t>
    </r>
  </si>
  <si>
    <t>03.003.00</t>
  </si>
  <si>
    <t>03.005.00</t>
  </si>
  <si>
    <t>Todas UF</t>
  </si>
  <si>
    <t>04.001.00</t>
  </si>
  <si>
    <t>05.001.00</t>
  </si>
  <si>
    <t>PT 11/85</t>
  </si>
  <si>
    <t>ANEXO X – SEGMENTO: LÂMPADAS, REATORES E “STARTER”</t>
  </si>
  <si>
    <t>09.001.00</t>
  </si>
  <si>
    <t>09.002.00</t>
  </si>
  <si>
    <t>09.003.00</t>
  </si>
  <si>
    <t>09.004.00</t>
  </si>
  <si>
    <t>09.005.00</t>
  </si>
  <si>
    <t>PT 17/85</t>
  </si>
  <si>
    <r>
      <t>0.</t>
    </r>
    <r>
      <rPr>
        <sz val="11"/>
        <rFont val="Calibri"/>
        <family val="2"/>
        <scheme val="minor"/>
      </rPr>
      <t xml:space="preserve"> Havendo alteração em algum campo da linha, a unidade federada deverá encaminhar nova versão do arquivo em formato de planilha eletrônica contendo todas as informações previstas na cláusula segunda, primeira, para a Secretaria do CONFAZ</t>
    </r>
  </si>
  <si>
    <r>
      <rPr>
        <sz val="11"/>
        <color rgb="FFFF0000"/>
        <rFont val="Calibri"/>
        <family val="2"/>
        <scheme val="minor"/>
      </rPr>
      <t>1.</t>
    </r>
    <r>
      <rPr>
        <sz val="11"/>
        <rFont val="Calibri"/>
        <family val="2"/>
        <scheme val="minor"/>
      </rPr>
      <t xml:space="preserve"> Quando do encaminhamento do arquivo atualizado à Secretaria-Executiva do CONFAZ, a unidade federada deverá apor o número da versão que será sequencial iniciando pelo algarismo 0 (zero)</t>
    </r>
  </si>
  <si>
    <r>
      <rPr>
        <sz val="11"/>
        <color rgb="FFFF0000"/>
        <rFont val="Calibri"/>
        <family val="2"/>
        <scheme val="minor"/>
      </rPr>
      <t>2.</t>
    </r>
    <r>
      <rPr>
        <sz val="11"/>
        <rFont val="Calibri"/>
        <family val="2"/>
        <scheme val="minor"/>
      </rPr>
      <t xml:space="preserve"> Informar a sigla da unidade federada destinatária / declarante</t>
    </r>
  </si>
  <si>
    <r>
      <t>Unidade Federada Destinatária / Declarante: __</t>
    </r>
    <r>
      <rPr>
        <b/>
        <i/>
        <vertAlign val="superscript"/>
        <sz val="11"/>
        <color rgb="FFFF0000"/>
        <rFont val="Calibri"/>
        <family val="2"/>
        <scheme val="minor"/>
      </rPr>
      <t xml:space="preserve"> (2)</t>
    </r>
  </si>
  <si>
    <r>
      <t xml:space="preserve">Observações: </t>
    </r>
    <r>
      <rPr>
        <b/>
        <i/>
        <vertAlign val="superscript"/>
        <sz val="10"/>
        <color rgb="FFFF0000"/>
        <rFont val="Arial"/>
        <family val="2"/>
      </rPr>
      <t>(4)</t>
    </r>
    <r>
      <rPr>
        <b/>
        <sz val="10"/>
        <color rgb="FF000000"/>
        <rFont val="Arial"/>
        <family val="2"/>
      </rPr>
      <t xml:space="preserve">
</t>
    </r>
  </si>
  <si>
    <r>
      <t xml:space="preserve">4. </t>
    </r>
    <r>
      <rPr>
        <sz val="11"/>
        <rFont val="Calibri"/>
        <family val="2"/>
        <scheme val="minor"/>
      </rPr>
      <t>Campo livre para informar qualquer situação específica que defina a aplicação ou não da substituição tributária, bem como regras explicativas que oriente os usuários na apuração do ICMS devido por substituição tributária. Por exemplo: deve ser informado as regras específicas do segmento de aplicação ou não da substituição tributária e a regra de definição do uso da MVA-ST em vez do PFC</t>
    </r>
  </si>
  <si>
    <r>
      <t xml:space="preserve">Descrição </t>
    </r>
    <r>
      <rPr>
        <b/>
        <i/>
        <vertAlign val="superscript"/>
        <sz val="10"/>
        <color rgb="FFFF0000"/>
        <rFont val="Arial"/>
        <family val="2"/>
      </rPr>
      <t>(5)</t>
    </r>
  </si>
  <si>
    <r>
      <t xml:space="preserve">Op. Interna </t>
    </r>
    <r>
      <rPr>
        <b/>
        <i/>
        <vertAlign val="superscript"/>
        <sz val="10"/>
        <color rgb="FFFF0000"/>
        <rFont val="Arial"/>
        <family val="2"/>
      </rPr>
      <t>(6)</t>
    </r>
  </si>
  <si>
    <r>
      <t>UF 1</t>
    </r>
    <r>
      <rPr>
        <b/>
        <i/>
        <vertAlign val="superscript"/>
        <sz val="10"/>
        <color rgb="FFFF0000"/>
        <rFont val="Arial"/>
        <family val="2"/>
      </rPr>
      <t>(7)</t>
    </r>
  </si>
  <si>
    <r>
      <t>UF 2</t>
    </r>
    <r>
      <rPr>
        <b/>
        <i/>
        <vertAlign val="superscript"/>
        <sz val="10"/>
        <color rgb="FFFF0000"/>
        <rFont val="Arial"/>
        <family val="2"/>
      </rPr>
      <t>(7)</t>
    </r>
  </si>
  <si>
    <r>
      <t>UF 3</t>
    </r>
    <r>
      <rPr>
        <b/>
        <i/>
        <vertAlign val="superscript"/>
        <sz val="10"/>
        <color rgb="FFFF0000"/>
        <rFont val="Arial"/>
        <family val="2"/>
      </rPr>
      <t>(7)</t>
    </r>
  </si>
  <si>
    <r>
      <t>6.</t>
    </r>
    <r>
      <rPr>
        <sz val="11"/>
        <rFont val="Calibri"/>
        <family val="2"/>
        <scheme val="minor"/>
      </rPr>
      <t xml:space="preserve"> Informar o código "S" caso a unidade federada destinatária / declarante adote o regime de substituição tributária em suas operações internas ou "N" em caso contrário</t>
    </r>
  </si>
  <si>
    <t>13.001.00</t>
  </si>
  <si>
    <t>13.001.01</t>
  </si>
  <si>
    <t>13.001.02</t>
  </si>
  <si>
    <t>13.002.00</t>
  </si>
  <si>
    <t>13.002.01</t>
  </si>
  <si>
    <t>13.002.02</t>
  </si>
  <si>
    <t>13.003.00</t>
  </si>
  <si>
    <t>13.003.01</t>
  </si>
  <si>
    <t>13.003.02</t>
  </si>
  <si>
    <t>13.004.00</t>
  </si>
  <si>
    <t>13.004.01</t>
  </si>
  <si>
    <t>13.004.02</t>
  </si>
  <si>
    <t>13.005.00</t>
  </si>
  <si>
    <t>13.005.01</t>
  </si>
  <si>
    <t>13.006.00</t>
  </si>
  <si>
    <t>13.007.00</t>
  </si>
  <si>
    <t>13.007.01</t>
  </si>
  <si>
    <t>13.008.00</t>
  </si>
  <si>
    <t>13.008.01</t>
  </si>
  <si>
    <t>13.009.00</t>
  </si>
  <si>
    <t>13.009.01</t>
  </si>
  <si>
    <t>13.010.00</t>
  </si>
  <si>
    <t>13.010.01</t>
  </si>
  <si>
    <t>13.011.00</t>
  </si>
  <si>
    <t>13.012.00</t>
  </si>
  <si>
    <t>13.013.00</t>
  </si>
  <si>
    <t>13.014.00</t>
  </si>
  <si>
    <t>13.015.00</t>
  </si>
  <si>
    <t>13.016.00</t>
  </si>
  <si>
    <t>16.001.00</t>
  </si>
  <si>
    <t>16.002.00</t>
  </si>
  <si>
    <t>16.003.00</t>
  </si>
  <si>
    <t>16.004.00</t>
  </si>
  <si>
    <t>16.006.00</t>
  </si>
  <si>
    <t>16.007.00</t>
  </si>
  <si>
    <t>16.008.00</t>
  </si>
  <si>
    <t>17.050.00</t>
  </si>
  <si>
    <t>17.051.00</t>
  </si>
  <si>
    <t>17.052.00</t>
  </si>
  <si>
    <t>17.053.01</t>
  </si>
  <si>
    <t>17.057.00</t>
  </si>
  <si>
    <t>17.058.00</t>
  </si>
  <si>
    <t>17.059.00</t>
  </si>
  <si>
    <t>17.060.00</t>
  </si>
  <si>
    <t>17.062.00</t>
  </si>
  <si>
    <t>17.063.00</t>
  </si>
  <si>
    <t>17.064.00</t>
  </si>
  <si>
    <r>
      <t xml:space="preserve">MVA-ST  </t>
    </r>
    <r>
      <rPr>
        <i/>
        <vertAlign val="superscript"/>
        <sz val="10"/>
        <color rgb="FFFF0000"/>
        <rFont val="Arial"/>
        <family val="2"/>
      </rPr>
      <t>(9)</t>
    </r>
  </si>
  <si>
    <r>
      <t>9.</t>
    </r>
    <r>
      <rPr>
        <sz val="11"/>
        <rFont val="Calibri"/>
        <family val="2"/>
        <scheme val="minor"/>
      </rPr>
      <t xml:space="preserve"> Informar a MVA-ST Original aplicada nas operações internas</t>
    </r>
  </si>
  <si>
    <r>
      <t>10.</t>
    </r>
    <r>
      <rPr>
        <sz val="11"/>
        <rFont val="Calibri"/>
        <family val="2"/>
        <scheme val="minor"/>
      </rPr>
      <t xml:space="preserve"> Informar a pauta, preço sugerido do fabricante, o preço médio ponderado ao consumidor final (PMPF), inclusive o preço máximo ao consumidor (PMC) com o percentual de desconto</t>
    </r>
  </si>
  <si>
    <r>
      <t xml:space="preserve">PFC
</t>
    </r>
    <r>
      <rPr>
        <b/>
        <i/>
        <vertAlign val="superscript"/>
        <sz val="10"/>
        <color rgb="FFFF0000"/>
        <rFont val="Arial"/>
        <family val="2"/>
      </rPr>
      <t>(10)</t>
    </r>
  </si>
  <si>
    <r>
      <t xml:space="preserve">Alíq. Interna </t>
    </r>
    <r>
      <rPr>
        <i/>
        <vertAlign val="superscript"/>
        <sz val="10"/>
        <color rgb="FFFF0000"/>
        <rFont val="Arial"/>
        <family val="2"/>
      </rPr>
      <t>(12)</t>
    </r>
  </si>
  <si>
    <r>
      <t xml:space="preserve">12. </t>
    </r>
    <r>
      <rPr>
        <sz val="11"/>
        <rFont val="Calibri"/>
        <family val="2"/>
        <scheme val="minor"/>
      </rPr>
      <t xml:space="preserve">Informar a alíquota interna ou carga tributária efetiva, se esta for inferior a primeira, já considerando eventual acréscimo de percentual destinado a Fundo de Combate à Pobreza </t>
    </r>
  </si>
  <si>
    <r>
      <t>5.</t>
    </r>
    <r>
      <rPr>
        <sz val="11"/>
        <rFont val="Calibri"/>
        <family val="2"/>
        <scheme val="minor"/>
      </rPr>
      <t xml:space="preserve"> Informar a descrição detalhada na hipótese de adoção de preço a consumidor final por marca comercial  para formação da base de cálculo de substituição tributária</t>
    </r>
  </si>
  <si>
    <r>
      <t xml:space="preserve">7. </t>
    </r>
    <r>
      <rPr>
        <sz val="11"/>
        <rFont val="Calibri"/>
        <family val="2"/>
        <scheme val="minor"/>
      </rPr>
      <t>Nos casos de existência de acordo interestadual, deve ser informado a sigla da unidade federada de origem no título da coluna e, nas células abaixo, o correspondente Protocolo (PT xx/ano) ou Convênio (CV xx/ano)</t>
    </r>
  </si>
  <si>
    <r>
      <t xml:space="preserve">Especificação MVA-ST </t>
    </r>
    <r>
      <rPr>
        <b/>
        <i/>
        <vertAlign val="superscript"/>
        <sz val="10"/>
        <color rgb="FFFF0000"/>
        <rFont val="Arial"/>
        <family val="2"/>
      </rPr>
      <t>(8)</t>
    </r>
  </si>
  <si>
    <t>Especificação PFC       (8)</t>
  </si>
  <si>
    <t>Especificação Alíq. Interna (11)</t>
  </si>
  <si>
    <t>20.064.00</t>
  </si>
  <si>
    <t>22.001.00</t>
  </si>
  <si>
    <t>PT 26/04</t>
  </si>
  <si>
    <t>23.001.00</t>
  </si>
  <si>
    <t>23.002.00</t>
  </si>
  <si>
    <r>
      <t xml:space="preserve">Observações:
</t>
    </r>
    <r>
      <rPr>
        <sz val="10"/>
        <color rgb="FF000000"/>
        <rFont val="Arial"/>
        <family val="2"/>
      </rPr>
      <t>I - Será adotado a MVA quando:
a) não tenha preço sugerido específico
b) o valor da operação própria do remetente localizado em outra unidade da Federação for igual ou superior a 80% do preço sugerido</t>
    </r>
  </si>
  <si>
    <t>24.001.00</t>
  </si>
  <si>
    <t>24.002.00</t>
  </si>
  <si>
    <t>24.003.00</t>
  </si>
  <si>
    <t>25.001.00</t>
  </si>
  <si>
    <t>25.002.00</t>
  </si>
  <si>
    <t>25.003.00</t>
  </si>
  <si>
    <t>25.004.00</t>
  </si>
  <si>
    <t>25.005.00</t>
  </si>
  <si>
    <t>25.006.00</t>
  </si>
  <si>
    <t>25.007.00</t>
  </si>
  <si>
    <t>25.008.00</t>
  </si>
  <si>
    <t>25.009.00</t>
  </si>
  <si>
    <t>25.010.00</t>
  </si>
  <si>
    <t>25.011.00</t>
  </si>
  <si>
    <t>25.012.00</t>
  </si>
  <si>
    <t>25.013.00</t>
  </si>
  <si>
    <t>25.014.00</t>
  </si>
  <si>
    <t>25.015.00</t>
  </si>
  <si>
    <t>25.016.00</t>
  </si>
  <si>
    <t>25.017.00</t>
  </si>
  <si>
    <t>25.018.00</t>
  </si>
  <si>
    <t>25.019.00</t>
  </si>
  <si>
    <t>25.020.00</t>
  </si>
  <si>
    <t>25.021.00</t>
  </si>
  <si>
    <t>26.001.00</t>
  </si>
  <si>
    <t>04.002.00</t>
  </si>
  <si>
    <r>
      <t xml:space="preserve">3. </t>
    </r>
    <r>
      <rPr>
        <sz val="11"/>
        <rFont val="Calibri"/>
        <family val="2"/>
        <scheme val="minor"/>
      </rPr>
      <t>Informar o número do Anexo correspondente ao segmento previsto no Convênio ICMS 52/17</t>
    </r>
  </si>
  <si>
    <r>
      <t xml:space="preserve">8. </t>
    </r>
    <r>
      <rPr>
        <sz val="11"/>
        <rFont val="Calibri"/>
        <family val="2"/>
        <scheme val="minor"/>
      </rPr>
      <t>Texto livre para informar os Especificaçãos necessários para a determinação da MVA-ST ou PFC. Por exemplo: de origem nacional ou importado; se na base de cálculo já possui frete ou não; se há contrato de fidelidade ou não, etc</t>
    </r>
  </si>
  <si>
    <r>
      <t xml:space="preserve">11. </t>
    </r>
    <r>
      <rPr>
        <sz val="11"/>
        <rFont val="Calibri"/>
        <family val="2"/>
        <scheme val="minor"/>
      </rPr>
      <t>Texto livre para informar os Especificaçãos necessários para a determinação da alíquota interna da unidade federada declarante. Por exemplo: (a) percentual de redução de base de cálculo de ICMS-ST e isenção, ambos aprovados pelo CONFAZ; (b) percentual de Fundo de Combate a Pobreza</t>
    </r>
  </si>
  <si>
    <t>PT 97/10</t>
  </si>
  <si>
    <t>AL, AP, CE, ES, MA, MS, MT, PA, PB, PE, PI, RN, TO, DF</t>
  </si>
  <si>
    <t>PT 14/06</t>
  </si>
  <si>
    <t>PT13/06</t>
  </si>
  <si>
    <t>PT13/07</t>
  </si>
  <si>
    <t>PT13/08</t>
  </si>
  <si>
    <t>PT13/09</t>
  </si>
  <si>
    <t>PT13/10</t>
  </si>
  <si>
    <t>PT13/11</t>
  </si>
  <si>
    <t>PT13/12</t>
  </si>
  <si>
    <t>PT13/13</t>
  </si>
  <si>
    <t>PT13/14</t>
  </si>
  <si>
    <t>PT 15/06</t>
  </si>
  <si>
    <t>1.1</t>
  </si>
  <si>
    <t>1.2</t>
  </si>
  <si>
    <t>03.010.00</t>
  </si>
  <si>
    <t>03.011.00</t>
  </si>
  <si>
    <t>03.013.00</t>
  </si>
  <si>
    <t>03.012.00</t>
  </si>
  <si>
    <t>03.015.00</t>
  </si>
  <si>
    <t>Bebidas hidroeletrolíticas (isotônicas) em embalagem com capacidade inferior a 600ml</t>
  </si>
  <si>
    <t>03.021.00</t>
  </si>
  <si>
    <t>Observações:</t>
  </si>
  <si>
    <t>AC, AL, BA, CE, ES, GO, MA, MG, MS, MT, PB, PE, PI, PR, RJ, RN, RO, RR, RS, SC, SP, TO, DF, PA, AP</t>
  </si>
  <si>
    <t>AC, AL, AM, AP, BA, CE, DF, ES, GO, MA, MG, MS, MT, PA, PB, PE, PI, PR, RJ, RN, RO, RR, RS, SC, SP, TO</t>
  </si>
  <si>
    <t>23.0</t>
  </si>
  <si>
    <t>24.0</t>
  </si>
  <si>
    <t>25.0</t>
  </si>
  <si>
    <t>39.0</t>
  </si>
  <si>
    <t>40.0</t>
  </si>
  <si>
    <t>48.0</t>
  </si>
  <si>
    <t>49.0</t>
  </si>
  <si>
    <t>50.0</t>
  </si>
  <si>
    <t>51.0</t>
  </si>
  <si>
    <t>53.0</t>
  </si>
  <si>
    <t>9025.19.90</t>
  </si>
  <si>
    <t>58.0</t>
  </si>
  <si>
    <t>63.0</t>
  </si>
  <si>
    <t>3923.30.00</t>
  </si>
  <si>
    <t>64.0</t>
  </si>
  <si>
    <t>8212.10.20 8212.20.10</t>
  </si>
  <si>
    <t>Aparelhos e lâminas de barbear</t>
  </si>
  <si>
    <t>Alíquota de 4%</t>
  </si>
  <si>
    <t>Alíquota de 7%</t>
  </si>
  <si>
    <t>Alíquota de 12%</t>
  </si>
  <si>
    <t>NCM/SH</t>
  </si>
  <si>
    <t>8418.99.00</t>
  </si>
  <si>
    <t>8421.9</t>
  </si>
  <si>
    <t>53.1</t>
  </si>
  <si>
    <t>8521.90.90</t>
  </si>
  <si>
    <t>MVA-ST Alíquota de 4%</t>
  </si>
  <si>
    <t>MVA-ST Alíquota de 7%</t>
  </si>
  <si>
    <t>MVA-ST Alíquota de 12%</t>
  </si>
  <si>
    <t>Data Início de validade</t>
  </si>
  <si>
    <t>Ração tipo “pet” para animais domésticos</t>
  </si>
  <si>
    <t>Alíquota interna</t>
  </si>
  <si>
    <t>Corantes para aplicação em bases, tintas e vernizes</t>
  </si>
  <si>
    <t>Veículos automóveis para transporte de 10 pessoas ou mais, incluindo o motorista, com motor de pistão, de ignição por compressão (diesel ou semidiesel), com volume interno de habitáculo, destinado a passageiros e motorista, superior a 6 m³, mas inferior a 9 m³</t>
  </si>
  <si>
    <t>Outros veículos automóveis para transporte de 10 pessoas ou mais, incluindo o motorista, com volume interno de habitáculo, destinado a passageiros e motorista, superior a 6 m³, mas inferior a 9 m³</t>
  </si>
  <si>
    <t>Automóveis com motor explosão, de cilindrada não superior a 1000 cm³</t>
  </si>
  <si>
    <t>Automóveis com motor explosão, de cilindrada superior a 1000 cm³, mas não superior a 1500 cm³, com capacidade de transporte de pessoas sentadas inferior ou igual a 6, incluído o condutor, exceto carro celular</t>
  </si>
  <si>
    <t>Outros automóveis com motor explosão, de cilindrada superior a 1000 cm³, mas não superior a 1500 cm³, exceto carro celular</t>
  </si>
  <si>
    <t>Automóveis com motor explosão, de cilindrada superior a 1500 cm³, mas não superior a 3000 cm³, com capacidade de transporte de pessoas sentadas inferior ou igual a 6, incluído o condutor, exceto carro celular, carro funerário e automóveis de corrida</t>
  </si>
  <si>
    <t>Outros automóveis com motor explosão, de cilindrada superior a 1500 cm³, mas não superior a 3000 cm³, exceto carro celular, carro funerário e automóveis de corrida</t>
  </si>
  <si>
    <t>Automóveis com motor explosão, de cilindrada superior a 3000 cm³, com capacidade de transporte de pessoas sentadas inferior ou igual a 6, incluído o condutor, exceto carro celular, carro funerário e automóveis de corrida</t>
  </si>
  <si>
    <t>Outros automóveis com motor explosão, de cilindrada superior a 3000 cm³, exceto carro celular, carro funerário e automóveis de corrida</t>
  </si>
  <si>
    <t>Automóveis com motor diesel ou semidiesel, de cilindrada superior a 1500 cm³, mas não superior a 2500 cm³, com capacidade de transporte de pessoas sentadas inferior ou igual a 6, incluído o condutor, exceto ambulância, carro celular e carro funerário</t>
  </si>
  <si>
    <t>Outros automóveis com motor diesel ou semidiesel, de cilindrada superior a 1500 cm³, mas não superior a 2500 cm³, exceto ambulância, carro celular e carro funerário</t>
  </si>
  <si>
    <t>Automóveis com motor diesel ou semidiesel, de cilindrada superior a 2500 cm³, com capacidade de transporte de pessoas sentadas inferior ou igual a 6, incluído o condutor, exceto carro celular e carro funerário</t>
  </si>
  <si>
    <t>Outros automóveis com motor diesel ou semidiesel, de cilindrada superior a 2500 cm³, exceto carro celular e carro funerário</t>
  </si>
  <si>
    <t>Veículos automóveis para transporte de mercadorias, de peso em carga máxima não superior a 5 toneladas, chassis com motor diesel ou semidiesel e cabina, exceto caminhão de peso em carga máxima superior a 3,9 toneladas</t>
  </si>
  <si>
    <t>Veículos automóveis para transporte de mercadorias, de peso em carga máxima não superior a 5 toneladas, com motor diesel ou semidiesel, com caixa basculante, exceto caminhão de peso em carga máxima superior a 3,9 toneladas</t>
  </si>
  <si>
    <t>Veículos automóveis para transporte de mercadorias, de peso em carga máxima não superior a 5 toneladas, frigoríficos ou isotérmicos, com motor diesel ou semidiesel, exceto caminhão de peso em carga máxima superior a 3,9 toneladas</t>
  </si>
  <si>
    <t>Outros veículos automóveis para transporte de mercadorias, de peso em carga máxima não superior a 5 toneladas, com motor diesel ou semidiesel, exceto carro-forte para transporte de valores e caminhão de peso em carga máxima superior a 3,9 toneladas</t>
  </si>
  <si>
    <t>Veículos automóveis para transporte de mercadorias, de peso em carga máxima não superior a 5 toneladas, com motor a explosão, chassis e cabina, exceto caminhão de peso em carga máxima superior a 3,9 toneladas</t>
  </si>
  <si>
    <t>Veículos automóveis para transporte de mercadorias, de peso em carga máxima não superior a 5 toneladas, com motor explosão com caixa basculante, exceto caminhão de peso em carga máxima superior a 3,9 toneladas</t>
  </si>
  <si>
    <t>Veículos automóveis para transporte de mercadorias, de peso em carga máxima não superior a 5 toneladas, frigoríficos ou isotérmicos com motor explosão, exceto caminhão de peso em carga máxima superior a 3,9 toneladas</t>
  </si>
  <si>
    <t>Outros veículos automóveis para transporte de mercadorias, de peso em carga máxima não superior a 5 toneladas, com motor a explosão, exceto carro-forte para transporte de valores e caminhão de peso em carga máxima superior a 3,9 toneladas</t>
  </si>
  <si>
    <t>8424.90.90</t>
  </si>
  <si>
    <t>8534.00</t>
  </si>
  <si>
    <t>Lentes de faróis, lanternas e outros utensílios</t>
  </si>
  <si>
    <t>Recipientes para gases comprimidos ou liquefeitos, de ferro fundido, ferro ou aço, exceto o descrito no item 18.0</t>
  </si>
  <si>
    <t>Molas e folhas de molas, de ferro ou aço</t>
  </si>
  <si>
    <t>Motores hidráulicos</t>
  </si>
  <si>
    <t>Partes das bombas, compressores e turbocompressores dos CEST 01.032.00, 01.033.00 e 01.034.00</t>
  </si>
  <si>
    <t>Partes para macacos do CEST 01.043.00</t>
  </si>
  <si>
    <t>Partes reconhecíveis como exclusiva ou principalmente destinadas às máquinas agrícolas ou rodoviárias</t>
  </si>
  <si>
    <t>Aparelhos receptores de radiodifusão que só funcionem com fonte externa de energia combinados com um aparelho de gravação ou de reprodução de som, do tipo utilizado em veículos automóveis</t>
  </si>
  <si>
    <t>Outros aparelhos videofônicos de gravação ou de reprodução, mesmo incorporando um receptor de sinais videofônicos, dos tipos utilizados exclusivamente em veículos automotores</t>
  </si>
  <si>
    <t>Circuitos impressos</t>
  </si>
  <si>
    <t>Disjuntores</t>
  </si>
  <si>
    <t>Baterias de chumbo e de níquel-cádmio</t>
  </si>
  <si>
    <t>Outras correntes de transmissão</t>
  </si>
  <si>
    <t>Pressostatos</t>
  </si>
  <si>
    <t>Peças para reboques e semirreboques, exceto os itens classificados no CEST 01.077.00</t>
  </si>
  <si>
    <t>Geradores de ar quente a combustível líquido, com capacidade superior ou igual a 1.500 kcal/h, mas inferior ou igual a 10.400 kcal/h, do tipo dos utilizados em veículos automóveis</t>
  </si>
  <si>
    <t>Outras peças, partes e acessórios para veículos automotores não relacionados nos demais itens deste anexo</t>
  </si>
  <si>
    <t>3918.10.00</t>
  </si>
  <si>
    <t>3926.30.00</t>
  </si>
  <si>
    <t>4016.10.10</t>
  </si>
  <si>
    <t>5903.90.00</t>
  </si>
  <si>
    <t>5909.00.00</t>
  </si>
  <si>
    <t>6306.1</t>
  </si>
  <si>
    <t>6506.10.00</t>
  </si>
  <si>
    <t>7009.10.00</t>
  </si>
  <si>
    <t>7014.00.00</t>
  </si>
  <si>
    <t>7311.00.00</t>
  </si>
  <si>
    <t>7806.00</t>
  </si>
  <si>
    <t>8007.00.90</t>
  </si>
  <si>
    <t>8301.70</t>
  </si>
  <si>
    <t>8310.00</t>
  </si>
  <si>
    <t>8407.3</t>
  </si>
  <si>
    <t>8408.20</t>
  </si>
  <si>
    <t>8409.9</t>
  </si>
  <si>
    <t>8412.2</t>
  </si>
  <si>
    <t>8413.30</t>
  </si>
  <si>
    <t>8414.10.00</t>
  </si>
  <si>
    <t>8415.20</t>
  </si>
  <si>
    <t>8421.29.90</t>
  </si>
  <si>
    <t>8424.10.00</t>
  </si>
  <si>
    <t>8421.31.00</t>
  </si>
  <si>
    <t>8421.39.20</t>
  </si>
  <si>
    <t>8425.42.00</t>
  </si>
  <si>
    <t>8431.10.10</t>
  </si>
  <si>
    <t>8431.49.2</t>
  </si>
  <si>
    <t>8433.90.90</t>
  </si>
  <si>
    <t>8481.10.00</t>
  </si>
  <si>
    <t>8481.2</t>
  </si>
  <si>
    <t>8481.80.92</t>
  </si>
  <si>
    <t>8505.20</t>
  </si>
  <si>
    <t>8507.10</t>
  </si>
  <si>
    <t>8517.12.13</t>
  </si>
  <si>
    <t>8518.50.00</t>
  </si>
  <si>
    <t>8519.81</t>
  </si>
  <si>
    <t>8527.21.00</t>
  </si>
  <si>
    <t>8527.29.00</t>
  </si>
  <si>
    <t>8529.10.90</t>
  </si>
  <si>
    <t>8536.10.00</t>
  </si>
  <si>
    <t>8536.20.00</t>
  </si>
  <si>
    <t>8536.4</t>
  </si>
  <si>
    <t>8539.10</t>
  </si>
  <si>
    <t>8539.2</t>
  </si>
  <si>
    <t>8544.20.00</t>
  </si>
  <si>
    <t>8544.30.00</t>
  </si>
  <si>
    <t>8714.1</t>
  </si>
  <si>
    <t>8716.90.90</t>
  </si>
  <si>
    <t>9026.10</t>
  </si>
  <si>
    <t>9026.20</t>
  </si>
  <si>
    <t>9030.33.21</t>
  </si>
  <si>
    <t>9031.80.40</t>
  </si>
  <si>
    <t>9032.89.2</t>
  </si>
  <si>
    <t>9104.00.00</t>
  </si>
  <si>
    <t>9613.80.00</t>
  </si>
  <si>
    <t>4504.90.00 6812.99.10</t>
  </si>
  <si>
    <t>4823.40.00</t>
  </si>
  <si>
    <t>3919.10.00 3919.90.00 8708.29.99</t>
  </si>
  <si>
    <t>8412.31.10</t>
  </si>
  <si>
    <t>8413.19.00 8413.50.90 8413.81.00</t>
  </si>
  <si>
    <t>8413.60.19 8413.70.10</t>
  </si>
  <si>
    <t>8414.59.10 8414.59.90</t>
  </si>
  <si>
    <t>8421.39.90</t>
  </si>
  <si>
    <t>8501.10.19</t>
  </si>
  <si>
    <t>8501.31.10</t>
  </si>
  <si>
    <t>8504.50.00</t>
  </si>
  <si>
    <t>8512.30.00</t>
  </si>
  <si>
    <t>9027.10.00</t>
  </si>
  <si>
    <t>4008.11.00</t>
  </si>
  <si>
    <t>5601.22.19</t>
  </si>
  <si>
    <t>5703.20.00</t>
  </si>
  <si>
    <t>5703.30.00</t>
  </si>
  <si>
    <t>5911.90.00</t>
  </si>
  <si>
    <t>6903.90.99</t>
  </si>
  <si>
    <t>7007.29.00</t>
  </si>
  <si>
    <t>7314.50.00</t>
  </si>
  <si>
    <t>7315.11.00</t>
  </si>
  <si>
    <t>01.053.01</t>
  </si>
  <si>
    <t>8507.10.10</t>
  </si>
  <si>
    <t>Acumuladores elétricos de chumbo, do tipo utilizado para o arranque dos motores de pistão e de capacidade inferior ou igual a 20 Ah e tensão inferior ou igual a 12 V</t>
  </si>
  <si>
    <t>7315.12.10</t>
  </si>
  <si>
    <t>8419.50</t>
  </si>
  <si>
    <t>8425.49.10</t>
  </si>
  <si>
    <t>8431.41.00</t>
  </si>
  <si>
    <t>8501.61.00</t>
  </si>
  <si>
    <t>8531.10.90</t>
  </si>
  <si>
    <t>9014.10.00</t>
  </si>
  <si>
    <t>9025.90.10</t>
  </si>
  <si>
    <t>9026.90</t>
  </si>
  <si>
    <t>9032.10.10</t>
  </si>
  <si>
    <t>9032.10.90</t>
  </si>
  <si>
    <t>9032.20.00</t>
  </si>
  <si>
    <t>8716.90</t>
  </si>
  <si>
    <t>7322.90.10</t>
  </si>
  <si>
    <t>MVA-ST 1 Alíquota de 7%</t>
  </si>
  <si>
    <t>MVA-ST 1 Alíquota de 12%</t>
  </si>
  <si>
    <t>MVA-ST 1 Alíquota de 4%</t>
  </si>
  <si>
    <t>MVA-ST 2 Alíquota de 7%</t>
  </si>
  <si>
    <t>MVA-ST 2 Alíquota de 12%</t>
  </si>
  <si>
    <t>MVA-ST 2 Alíquota de 4%</t>
  </si>
  <si>
    <t>2208.90.00</t>
  </si>
  <si>
    <t>Aperitivos, amargos, bitter e similares</t>
  </si>
  <si>
    <t>Batida e similares</t>
  </si>
  <si>
    <t>Bebida ice</t>
  </si>
  <si>
    <t>2208.40.00</t>
  </si>
  <si>
    <t>Cachaça e aguardentes</t>
  </si>
  <si>
    <t>2206.00.90</t>
  </si>
  <si>
    <t>Catuaba e similares</t>
  </si>
  <si>
    <t>2208.20.00</t>
  </si>
  <si>
    <t>Conhaque, brandy e similares</t>
  </si>
  <si>
    <t>Cooler</t>
  </si>
  <si>
    <t>2208.50.00</t>
  </si>
  <si>
    <t>Gim (gin) e genebra</t>
  </si>
  <si>
    <t>Jurubeba e similares</t>
  </si>
  <si>
    <t>2208.70.00</t>
  </si>
  <si>
    <t>Licores e similares</t>
  </si>
  <si>
    <t>Pisco</t>
  </si>
  <si>
    <t>Rum</t>
  </si>
  <si>
    <t>Saquê</t>
  </si>
  <si>
    <t>Steinhaeger</t>
  </si>
  <si>
    <t>Tequila</t>
  </si>
  <si>
    <t>Uísque</t>
  </si>
  <si>
    <t>Vermute e similares</t>
  </si>
  <si>
    <t>2208.60.00</t>
  </si>
  <si>
    <t>Vodka</t>
  </si>
  <si>
    <t>Derivados de vodka</t>
  </si>
  <si>
    <t>Arak</t>
  </si>
  <si>
    <t>2206.00.10</t>
  </si>
  <si>
    <t>Sidra e similares</t>
  </si>
  <si>
    <t>Sangrias e coquetéis</t>
  </si>
  <si>
    <t>Outras bebidas alcoólicas não especificadas nos itens anteriores</t>
  </si>
  <si>
    <t>MVA-ST  Alíquota de 7%</t>
  </si>
  <si>
    <t>MVA-ST  Alíquota de 12%</t>
  </si>
  <si>
    <t>MVA-ST  Alíquota de 4%</t>
  </si>
  <si>
    <t>Charutos, cigarrilhas e cigarros, de tabaco ou dos seus sucedâneos</t>
  </si>
  <si>
    <t>2403.1</t>
  </si>
  <si>
    <t>Tabaco para fumar, mesmo contendo sucedâneos de tabaco em qualquer proporção</t>
  </si>
  <si>
    <t>Período de vigência</t>
  </si>
  <si>
    <t>Cimento</t>
  </si>
  <si>
    <t>8504.10.00</t>
  </si>
  <si>
    <t>8536.50</t>
  </si>
  <si>
    <t>Lâmpadas elétricas</t>
  </si>
  <si>
    <t>4011.10.00</t>
  </si>
  <si>
    <t>4011.40.00</t>
  </si>
  <si>
    <t>4012.1</t>
  </si>
  <si>
    <t>4012.90</t>
  </si>
  <si>
    <t>CV 102/17</t>
  </si>
  <si>
    <t>Medicamentos de referência – positiva, exceto para uso veterinário</t>
  </si>
  <si>
    <t>Medicamentos de referência – negativa, exceto para uso veterinário</t>
  </si>
  <si>
    <t>Medicamentos de referência – neutra, exceto para uso veterinário</t>
  </si>
  <si>
    <t>3006.60.00</t>
  </si>
  <si>
    <t>Provitaminas e vitaminas, naturais ou reproduzidas por síntese (incluídos os concentrados naturais), bem como os seus derivados utilizados principalmente como vitaminas, misturados ou não entre si, mesmo em quaisquer soluções – neutra</t>
  </si>
  <si>
    <t>3006.30</t>
  </si>
  <si>
    <t>Preparações opacificantes (contrastantes) para exames radiográficos e reagentes de diagnóstico concebidos para serem administrados ao paciente – positiva</t>
  </si>
  <si>
    <t>Preparações opacificantes (contrastantes) para exames radiográficos e reagentes de diagnóstico concebidos para serem administrados ao paciente – negativa</t>
  </si>
  <si>
    <t>Antissoro, outras frações do sangue, produtos imunológicos modificados, mesmo obtidos por via biotecnológica, exceto para uso veterinário – positiva</t>
  </si>
  <si>
    <t>Antissoro, outras frações do sangue, produtos imunológicos modificados, mesmo obtidos por via biotecnológica, exceto para uso veterinário – negativa</t>
  </si>
  <si>
    <t>Vacinas e produtos semelhantes, exceto para uso veterinário – positiva;</t>
  </si>
  <si>
    <t>3005.10.10</t>
  </si>
  <si>
    <t>Curativos (pensos) adesivos e outros artigos com uma camada adesiva, impregnados ou recobertos de substâncias farmacêuticas – Lista Negativa</t>
  </si>
  <si>
    <t>4014.10.00</t>
  </si>
  <si>
    <t>9018.31</t>
  </si>
  <si>
    <t>9018.32.1</t>
  </si>
  <si>
    <t>Preservativo – neutra</t>
  </si>
  <si>
    <t>Agulhas para seringas – neutra</t>
  </si>
  <si>
    <t>Contraceptivos (dispositivos intrauterinos – DIU) – neutra</t>
  </si>
  <si>
    <t>Outros tipos de medicamentos – positiva, exceto para uso veterinário</t>
  </si>
  <si>
    <t>Outros tipos de medicamentos – negativa, exceto para uso veterinário</t>
  </si>
  <si>
    <t>Outros tipos de medicamentos – neutra, exceto para uso veterinário</t>
  </si>
  <si>
    <t>MVA - ST AJUSTADA À ALÍQUOTA</t>
  </si>
  <si>
    <t>Legislação interna</t>
  </si>
  <si>
    <t>2105.00</t>
  </si>
  <si>
    <t>Sorvetes de qualquer espécie</t>
  </si>
  <si>
    <t>Preparados para fabricação de sorvete em máquina</t>
  </si>
  <si>
    <t>8702.10.00</t>
  </si>
  <si>
    <t>8702.90.90</t>
  </si>
  <si>
    <t>8703.21.00</t>
  </si>
  <si>
    <t>8703.22.10</t>
  </si>
  <si>
    <t>8703.22.90</t>
  </si>
  <si>
    <t>8703.23.10</t>
  </si>
  <si>
    <t>8703.23.90</t>
  </si>
  <si>
    <t>8703.24.10</t>
  </si>
  <si>
    <t>8703.24.90</t>
  </si>
  <si>
    <t>8703.32.10</t>
  </si>
  <si>
    <t>8703.32.90</t>
  </si>
  <si>
    <t>8703.33.10</t>
  </si>
  <si>
    <t>8703.33.90</t>
  </si>
  <si>
    <t>8704.21.10</t>
  </si>
  <si>
    <t>8704.21.20</t>
  </si>
  <si>
    <t>8704.21.30</t>
  </si>
  <si>
    <t>8704.21.90</t>
  </si>
  <si>
    <t>8704.31.10</t>
  </si>
  <si>
    <t>8704.31.20</t>
  </si>
  <si>
    <t>8704.31.30</t>
  </si>
  <si>
    <t>8704.31.90</t>
  </si>
  <si>
    <t>1902.30.00</t>
  </si>
  <si>
    <t>1905.20</t>
  </si>
  <si>
    <t>1905.20.90</t>
  </si>
  <si>
    <t>Bolo de forma, inclusive de especiarias</t>
  </si>
  <si>
    <t>1905.20.10</t>
  </si>
  <si>
    <t>Panetones</t>
  </si>
  <si>
    <t>1905.31.00</t>
  </si>
  <si>
    <t>Biscoitos e bolachas derivados de farinha de trigo dos tipos “maisena” e “maria” e outros de consumo popular que não sejam adicionados de cacau, nem recheados, cobertos ou amanteigados, independentemente de sua denominação comercial, exceto o CEST 17.053.02</t>
  </si>
  <si>
    <t>1905.32.00</t>
  </si>
  <si>
    <t>“Waffles” e “wafers” - sem cobertura</t>
  </si>
  <si>
    <t>“Waffles” e “wafers” - com cobertura</t>
  </si>
  <si>
    <t>1905.40.00</t>
  </si>
  <si>
    <t>Torradas, pão torrado e produtos semelhantes torrados</t>
  </si>
  <si>
    <t>1905.90.10</t>
  </si>
  <si>
    <t>Outros pães de forma</t>
  </si>
  <si>
    <t>1905.90.90</t>
  </si>
  <si>
    <t>1905.10.00</t>
  </si>
  <si>
    <t>Pão denominado knackebrot</t>
  </si>
  <si>
    <t>1905.90</t>
  </si>
  <si>
    <t>Demais pães industrializados</t>
  </si>
  <si>
    <t>CV 118/17</t>
  </si>
  <si>
    <t>01.01.2018</t>
  </si>
  <si>
    <t>CV 199/17</t>
  </si>
  <si>
    <t>Alíq. Interna</t>
  </si>
  <si>
    <t xml:space="preserve">Observações:
</t>
  </si>
  <si>
    <t>04.10.2018</t>
  </si>
  <si>
    <t>CV 111/17</t>
  </si>
  <si>
    <t>20.023.00</t>
  </si>
  <si>
    <t>3306.10.00</t>
  </si>
  <si>
    <t>Dentifrícios</t>
  </si>
  <si>
    <t>20.024.00</t>
  </si>
  <si>
    <t>3306.20.00</t>
  </si>
  <si>
    <t>Fios utilizados para limpar os espaços interdentais (fios dentais)</t>
  </si>
  <si>
    <t>20.025.00</t>
  </si>
  <si>
    <t>3306.90.00</t>
  </si>
  <si>
    <t>Outras preparações para higiene bucal ou dentária</t>
  </si>
  <si>
    <t>20.039.00</t>
  </si>
  <si>
    <t>4014.90.90</t>
  </si>
  <si>
    <t>Chupetas e bicos para mamadeiras e para chupetas, de borracha</t>
  </si>
  <si>
    <t>Chupetas e bicos para mamadeiras e para chupetas, de silicone</t>
  </si>
  <si>
    <t>20.048.00</t>
  </si>
  <si>
    <t>9619.00.00</t>
  </si>
  <si>
    <t>48.1</t>
  </si>
  <si>
    <t>20.048.01</t>
  </si>
  <si>
    <t>Fraldas de fibras têxteis</t>
  </si>
  <si>
    <t>20.049.00</t>
  </si>
  <si>
    <t>20.050.00</t>
  </si>
  <si>
    <t>20.051.00</t>
  </si>
  <si>
    <t>5601.21.90</t>
  </si>
  <si>
    <t>Hastes flexíveis (uso não medicinal)</t>
  </si>
  <si>
    <t>20.058.00</t>
  </si>
  <si>
    <t>9603.21.00</t>
  </si>
  <si>
    <t>Escovas de dentes, incluídas as escovas para dentaduras</t>
  </si>
  <si>
    <t>PT 58/18</t>
  </si>
  <si>
    <t>CV 200/17</t>
  </si>
  <si>
    <t>Especificação Alíq.  Interna</t>
  </si>
  <si>
    <t>17.062.01</t>
  </si>
  <si>
    <t>17.062.02</t>
  </si>
  <si>
    <t>Outros pães, exceto o classificado no CEST 17.062.03</t>
  </si>
  <si>
    <t>Outros bolos industrializados e produtos de panificação não especificados anteriormente, incluindo as pizzas; exceto os classificados nos CEST 17.062.02 e 17.062.03</t>
  </si>
  <si>
    <t>Casquinhas para sorvete</t>
  </si>
  <si>
    <t>03.023.00</t>
  </si>
  <si>
    <t>AC, AL, AP, ES, MA,  MS, MT, PA, PB, PR, PE, PI, RN, TO</t>
  </si>
  <si>
    <t>17.047.01</t>
  </si>
  <si>
    <t>Massas alimentícias tipo instantânea, derivadas de farinha de trigo.</t>
  </si>
  <si>
    <t>25.022.00</t>
  </si>
  <si>
    <t>8702.20.00</t>
  </si>
  <si>
    <t>Veículos automóveis para transporte de 10 pessoas ou mais, incluindo o motorista, com motor de pistão, de ignição por compressão (diesel ou semidiesel) e um motor elétrico, com volume interno de habitáculo, destinado a passageiros e motorista, superior a 6 m³, mas inferior a 9 m³</t>
  </si>
  <si>
    <t>25.023.00</t>
  </si>
  <si>
    <t>8702.30.00</t>
  </si>
  <si>
    <t>Veículos automóveis para transporte de 10 pessoas ou mais, incluindo o motorista, com motor de pistão alternativo, de ignição por centelha (faísca) e um motor elétrico, com volume interno de habitáculo, destinado a passageiros e motorista, superior a 6 m³, mas inferior a 9 m³</t>
  </si>
  <si>
    <t>25.024.00</t>
  </si>
  <si>
    <t>8702.90.00</t>
  </si>
  <si>
    <t> Outros veículos automóveis para transporte de 10 pessoas ou mais, incluindo o motorista, com volume interno de habitáculo, destinado a passageiros e motorista, superior a 6 m³, mas inferior a 9 m³</t>
  </si>
  <si>
    <t>25.025.00</t>
  </si>
  <si>
    <t>8703.40.00</t>
  </si>
  <si>
    <t>Automóveis equipados para propulsão, simultaneamente, com um motor de pistão alternativo de ignição por centelha (faísca*) e um motor elétrico, exceto os suscetíveis de serem carregados por conexão a uma fonte externa de energia elétrica, o carro celular e o carro funerário</t>
  </si>
  <si>
    <t>25.026.00</t>
  </si>
  <si>
    <t>8703.50.00</t>
  </si>
  <si>
    <t>Automóveis equipados para propulsão, simultaneamente, com um motor de pistão por compressão (diesel ou semidiesel) e um motor elétrico, exceto os suscetíveis de serem carregados por conexão a uma fonte externa de energia elétrica, exceto o carro celular e o carro funerário</t>
  </si>
  <si>
    <t>25.027.00</t>
  </si>
  <si>
    <t>8703.60.00</t>
  </si>
  <si>
    <t>Automóveis equipados para propulsão, simultaneamente, com um motor de pistão alternativo de ignição por centelha (faísca*) e um motor elétrico, suscetíveis de serem carregados por conexão a uma fonte externa de energia elétrica, exceto o carro celular e o carro funerário</t>
  </si>
  <si>
    <t>25.028.00</t>
  </si>
  <si>
    <t>8703.70.00</t>
  </si>
  <si>
    <t>Automóveis equipados para propulsão, simultaneamente, com um motor de pistão por compressão (diesel ou semidiesel) e um motor elétrico, suscetíveis de serem carregados por conexão a uma fonte externa de energia elétrica, exceto o carro celular e o carro funerário</t>
  </si>
  <si>
    <t>25.029.00</t>
  </si>
  <si>
    <t>8703.80.00</t>
  </si>
  <si>
    <t>Outros veículos, equipados unicamente com motor elétrico para propulsão</t>
  </si>
  <si>
    <t>AL, AP, CE, MA, MS, MT, PB, TO, DF</t>
  </si>
  <si>
    <t>AL, CE, MA, MS, MT, PB, RN, TO, DF</t>
  </si>
  <si>
    <t>03.013.01</t>
  </si>
  <si>
    <t>03.005.04</t>
  </si>
  <si>
    <t>03.008.00</t>
  </si>
  <si>
    <t>03.010.01</t>
  </si>
  <si>
    <t>03.011.01</t>
  </si>
  <si>
    <t>03.010.02</t>
  </si>
  <si>
    <t>AC, AL, AM, BA, ES, GO, MA, MT, PA, PB, PE, PR, PI, RJ, RN, RR, SC, TO, DF</t>
  </si>
  <si>
    <t>AC, AL, AM, AP, BA, CE, ES, GO, MA, MG, MS, MT, PA, PE, PI, PB, PR, RJ, RO, RR, RN, SP, TO, DF</t>
  </si>
  <si>
    <t>Aliquota interna</t>
  </si>
  <si>
    <t>03.021.05</t>
  </si>
  <si>
    <t>AC, AL, AM, AP. BA, CE, DF, ES, MA, MT, MS, MG, PA, PB, PE, PI, PR, RJ, RN,  RR, RS,  SP e TO</t>
  </si>
  <si>
    <t>AC, AL, AM, AP, BA, CE, DF, ES, GO, MA, MG, MS, MT, PA, PB, PE, PI, PR, RJ, RN, RO, RR, RS, SP, TO</t>
  </si>
  <si>
    <t>Versão: 0019</t>
  </si>
  <si>
    <t>Unidade Federada Destinatária / Declarante: PI</t>
  </si>
  <si>
    <t>1.0</t>
  </si>
  <si>
    <t>3815.12.10 3815.12.90</t>
  </si>
  <si>
    <t xml:space="preserve">Catalisadores em colmeia cerâmica ou metálica para conversão catalítica de gases de escape de veículos e outros catalisadores </t>
  </si>
  <si>
    <t>2.0</t>
  </si>
  <si>
    <t xml:space="preserve">Tubos e seus acessórios (por exemplo, juntas, cotovelos, flanges, uniões), de plásticos </t>
  </si>
  <si>
    <t>3.0</t>
  </si>
  <si>
    <t xml:space="preserve">Protetores de caçamba  </t>
  </si>
  <si>
    <t>4.0</t>
  </si>
  <si>
    <t xml:space="preserve">Reservatórios de óleo </t>
  </si>
  <si>
    <t>5.0</t>
  </si>
  <si>
    <t xml:space="preserve">Frisos, decalques, molduras e acabamentos </t>
  </si>
  <si>
    <t>6.0</t>
  </si>
  <si>
    <t>4010.3 
5910.00.00</t>
  </si>
  <si>
    <t xml:space="preserve">Correias de transmissão de borracha vulcanizada, de matérias têxteis, mesmo impregnadas, revestidas ou recobertas, de plástico, ou estratificadas com plástico ou reforçadas com metal ou com outras matérias </t>
  </si>
  <si>
    <t>7.0</t>
  </si>
  <si>
    <t>4016.93.00 
4823.90.9</t>
  </si>
  <si>
    <t xml:space="preserve">Juntas, gaxetas e outros elementos com função semelhante de vedação </t>
  </si>
  <si>
    <t>8.0</t>
  </si>
  <si>
    <t xml:space="preserve">Partes de veículos automóveis, tratores e máquinas autopropulsadas </t>
  </si>
  <si>
    <t>9.0</t>
  </si>
  <si>
    <t>4016.99.90 5705.00.00</t>
  </si>
  <si>
    <t xml:space="preserve">Tapetes, revestimentos, mesmo confeccionados, batentes, buchas e coxins </t>
  </si>
  <si>
    <t>10.0</t>
  </si>
  <si>
    <t xml:space="preserve">Tecidos impregnados, revestidos, recobertos ou estratificados, com plástico </t>
  </si>
  <si>
    <t>11.0</t>
  </si>
  <si>
    <t xml:space="preserve">Mangueiras e tubos semelhantes, de matérias têxteis, mesmo com reforço ou acessórios de outras matérias </t>
  </si>
  <si>
    <t>12.0</t>
  </si>
  <si>
    <t xml:space="preserve">Encerados e toldos </t>
  </si>
  <si>
    <t>13.0</t>
  </si>
  <si>
    <t xml:space="preserve">Capacetes e artefatos de uso semelhante, de proteção, para uso em motocicletas, incluídos ciclomotores </t>
  </si>
  <si>
    <t>14.0</t>
  </si>
  <si>
    <t xml:space="preserve">Guarnições de fricção (por exemplo, placas, rolos, tiras, segmentos, discos, anéis, pastilhas), não montadas, para freios, embreagens ou qualquer outro mecanismo de fricção, à base de amianto, de outras substâncias minerais ou de celulose, mesmo combinadas com têxteis ou outras matérias </t>
  </si>
  <si>
    <t>15.0</t>
  </si>
  <si>
    <t>7007.11.00 7007.21.00</t>
  </si>
  <si>
    <t xml:space="preserve">Vidros de dimensões e formatos que permitam aplicação automotiva </t>
  </si>
  <si>
    <t>16.0</t>
  </si>
  <si>
    <t xml:space="preserve">Espelhos retrovisores </t>
  </si>
  <si>
    <t>17.0</t>
  </si>
  <si>
    <t>18.0</t>
  </si>
  <si>
    <t xml:space="preserve">Cilindro de aço para GNV (gás natural veicular) </t>
  </si>
  <si>
    <t>19.0</t>
  </si>
  <si>
    <t>20.0</t>
  </si>
  <si>
    <t>21.0</t>
  </si>
  <si>
    <t>01.21.00</t>
  </si>
  <si>
    <t xml:space="preserve">Obras moldadas, de ferro fundido, ferro ou aço, exceto as do código 7325.91.00 </t>
  </si>
  <si>
    <t>22.0</t>
  </si>
  <si>
    <t xml:space="preserve">Peso de chumbo para balanceamento de roda </t>
  </si>
  <si>
    <t xml:space="preserve">Peso para balanceamento de roda e outros utensílios de estanho </t>
  </si>
  <si>
    <t>8301.20 
8301.60</t>
  </si>
  <si>
    <t xml:space="preserve">Fechaduras e partes de fechaduras </t>
  </si>
  <si>
    <t xml:space="preserve">Chaves apresentadas isoladamente </t>
  </si>
  <si>
    <t>26.0</t>
  </si>
  <si>
    <t>8302.10.00 8302.30.00</t>
  </si>
  <si>
    <t xml:space="preserve">Dobradiças, guarnições, ferragens e artigos semelhantes de metais comuns </t>
  </si>
  <si>
    <t>27.0</t>
  </si>
  <si>
    <t xml:space="preserve">Triângulo de segurança </t>
  </si>
  <si>
    <t>28.0</t>
  </si>
  <si>
    <t xml:space="preserve">Motores de pistão alternativo dos tipos utilizados para propulsão de veículos do Capítulo 87 </t>
  </si>
  <si>
    <t>29.0</t>
  </si>
  <si>
    <t xml:space="preserve">Motores dos tipos utilizados para propulsão de veículos automotores </t>
  </si>
  <si>
    <t>30.0</t>
  </si>
  <si>
    <t xml:space="preserve">Partes reconhecíveis como exclusiva ou principalmente destinadas aos motores das posições 8407 ou 8408 </t>
  </si>
  <si>
    <t>31.0</t>
  </si>
  <si>
    <t>32.0</t>
  </si>
  <si>
    <t xml:space="preserve">Bombas para combustíveis, lubrificantes ou líquidos de arrefecimento, próprias para motores de ignição por centelha ou por compressão </t>
  </si>
  <si>
    <t>33.0</t>
  </si>
  <si>
    <t xml:space="preserve">Bombas de vácuo </t>
  </si>
  <si>
    <t>34.0</t>
  </si>
  <si>
    <t>8414.80.1 8414.80.2</t>
  </si>
  <si>
    <t xml:space="preserve">Compressores e turbocompressores de ar </t>
  </si>
  <si>
    <t>35.0</t>
  </si>
  <si>
    <t>8413.91.90 8414.90.10 8414.90.3 8414.90.39</t>
  </si>
  <si>
    <t>36.0</t>
  </si>
  <si>
    <t xml:space="preserve">Máquinas e aparelhos de ar condicionado </t>
  </si>
  <si>
    <t>37.0</t>
  </si>
  <si>
    <t>8421.23.00</t>
  </si>
  <si>
    <t xml:space="preserve">Aparelhos para filtrar óleos minerais nos motores de ignição por centelha ou por compressão </t>
  </si>
  <si>
    <t>38.0</t>
  </si>
  <si>
    <t xml:space="preserve">Filtros a vácuo </t>
  </si>
  <si>
    <t xml:space="preserve">Partes dos aparelhos para filtrar ou depurar líquidos ou gases </t>
  </si>
  <si>
    <t xml:space="preserve">Extintores, mesmo carregados </t>
  </si>
  <si>
    <t>41.0</t>
  </si>
  <si>
    <t xml:space="preserve">Filtros de entrada de ar para motores de ignição por centelha ou por compressão </t>
  </si>
  <si>
    <t>42.0</t>
  </si>
  <si>
    <t xml:space="preserve">Depuradores por conversão catalítica de gases de escape </t>
  </si>
  <si>
    <t>43.0</t>
  </si>
  <si>
    <t xml:space="preserve">Macacos </t>
  </si>
  <si>
    <t>44.0</t>
  </si>
  <si>
    <t>45.0</t>
  </si>
  <si>
    <t xml:space="preserve">Partes reconhecíveis como exclusiva ou principalmente destinadas às máquinas agrícolas ou rodoviárias </t>
  </si>
  <si>
    <t>45.1</t>
  </si>
  <si>
    <t>46.0</t>
  </si>
  <si>
    <t xml:space="preserve">Válvulas redutoras de pressão </t>
  </si>
  <si>
    <t>47.0</t>
  </si>
  <si>
    <t xml:space="preserve">Válvulas para transmissão óleo-hidráulicas ou pneumáticas </t>
  </si>
  <si>
    <t xml:space="preserve">Válvulas olenoides </t>
  </si>
  <si>
    <t xml:space="preserve">Rolamentos </t>
  </si>
  <si>
    <t xml:space="preserve">Árvores de transmissão (incluídas as árvores de “cames”e virabrequins) e manivelas; mancais e “bronzes”; engrenagens e rodas de fricção; eixos de esferas ou de roletes; redutores, multiplicadores, caixas de transmissão e variadores de velocidade, incluídos os conversores de torque; volantes e polias, incluídas as polias para cadernais; embreagens e dispositivos de acoplamento, incluídas as juntas de articulação </t>
  </si>
  <si>
    <t xml:space="preserve">Juntas metaloplásticas; jogos ou sortidos de juntas de composições diferentes, apresentados em bolsas, envelopes ou embalagens semelhantes; juntas de vedação mecânicas (selos mecânicos) </t>
  </si>
  <si>
    <t>52.0</t>
  </si>
  <si>
    <t xml:space="preserve">Acoplamentos, embreagens, variadores de velocidade e freios, eletromagnéticos </t>
  </si>
  <si>
    <t xml:space="preserve">Acumuladores elétricos de chumbo, do tipo utilizado para o arranque dos motores de pistão, exceto os classificados no CEST 01.053.01 </t>
  </si>
  <si>
    <t>54.0</t>
  </si>
  <si>
    <t xml:space="preserve">Aparelhos e dispositivos elétricos de ignição ou de arranque para motores de ignição por centelha ou por compressão (por exemplo, magnetos, dínamos-magnetos, bobinas de ignição, velas de ignição ou de aquecimento, motores de arranque); geradores (dínamos e alternadores, por exemplo) e conjuntores-disjuntores utilizados com estes motores </t>
  </si>
  <si>
    <t>55.0</t>
  </si>
  <si>
    <t>8512.20 8512.40 8512.90.00</t>
  </si>
  <si>
    <t xml:space="preserve">Aparelhos elétricos de iluminação ou de sinalização (exceto os da posição 8539), limpadores de para-brisas, degeladores e desembaçadores (desembaciadores) elétricos e suas partes </t>
  </si>
  <si>
    <t>56.0</t>
  </si>
  <si>
    <t>Telefones móveis do tipo dos utilizados em veículos automóveis</t>
  </si>
  <si>
    <t>57.0</t>
  </si>
  <si>
    <t xml:space="preserve">Alto-falantes, amplificadores elétricos de audiofrequência e partes </t>
  </si>
  <si>
    <t xml:space="preserve">Aparelhos elétricos de amplificação de som para veículos automotores </t>
  </si>
  <si>
    <t>59.0</t>
  </si>
  <si>
    <t xml:space="preserve">Aparelhos de reprodução de som </t>
  </si>
  <si>
    <t>60.0</t>
  </si>
  <si>
    <t>8525.50.1 8525.60.10</t>
  </si>
  <si>
    <t xml:space="preserve">Aparelhos transmissores (emissores) de radiotelefonia ou radiotelegrafia (rádio receptor/transmissor) </t>
  </si>
  <si>
    <t>61.0</t>
  </si>
  <si>
    <t>62.0</t>
  </si>
  <si>
    <t xml:space="preserve">Outros aparelhos receptores de radiodifusão que só funcionem com fonte externa de energia, do tipo utilizado em veículos automotores </t>
  </si>
  <si>
    <t>62.1</t>
  </si>
  <si>
    <t xml:space="preserve">Antenas </t>
  </si>
  <si>
    <t>65.0</t>
  </si>
  <si>
    <t>8535.30
8536.50</t>
  </si>
  <si>
    <t xml:space="preserve">Interruptores e seccionadores e comutadores </t>
  </si>
  <si>
    <t>66.0</t>
  </si>
  <si>
    <t xml:space="preserve">Fusíveis e corta-circuitos de fusíveis </t>
  </si>
  <si>
    <t>67.0</t>
  </si>
  <si>
    <t>68.0</t>
  </si>
  <si>
    <t xml:space="preserve">Relés </t>
  </si>
  <si>
    <t>69.0</t>
  </si>
  <si>
    <t>Partes reconhecíveis como exclusivas ou principalmente destinados aos aparelhos dos CEST 01.065.00, 01.066.00, 01.067.00 e 01.068.00.</t>
  </si>
  <si>
    <t>70.0</t>
  </si>
  <si>
    <t xml:space="preserve">Faróis e projetores, em unidades seladas </t>
  </si>
  <si>
    <t>71.0</t>
  </si>
  <si>
    <t xml:space="preserve">Lâmpadas e tubos de incandescência, exceto de raios ultravioleta ou infravermelhos </t>
  </si>
  <si>
    <t>72.0</t>
  </si>
  <si>
    <t xml:space="preserve">Cabos coaxiais e outros condutores elétricos coaxiais </t>
  </si>
  <si>
    <t>73.0</t>
  </si>
  <si>
    <t xml:space="preserve">Jogos de fios para velas de ignição e outros jogos de fios </t>
  </si>
  <si>
    <t>74.0</t>
  </si>
  <si>
    <t xml:space="preserve">Carroçarias para os veículos automóveis das posições 8701 a 8705, incluídas as cabinas </t>
  </si>
  <si>
    <t>75.0</t>
  </si>
  <si>
    <t xml:space="preserve">Partes e acessórios dos veículos automóveis das posições 8701 a 8705 </t>
  </si>
  <si>
    <t>76.0</t>
  </si>
  <si>
    <t xml:space="preserve">Parte e acessórios de motocicletas (incluídos os ciclomotores) </t>
  </si>
  <si>
    <t>77.0</t>
  </si>
  <si>
    <t>Engates para reboques e semi-reboques</t>
  </si>
  <si>
    <t>78.0</t>
  </si>
  <si>
    <t xml:space="preserve">Medidores de nível; Medidores de vazão </t>
  </si>
  <si>
    <t>79.0</t>
  </si>
  <si>
    <t xml:space="preserve">Aparelhos para medida ou controle da pressão </t>
  </si>
  <si>
    <t>80.0</t>
  </si>
  <si>
    <t xml:space="preserve">Contadores, indicadores de velocidade e tacômetros, suas partes e acessórios </t>
  </si>
  <si>
    <t>81.0</t>
  </si>
  <si>
    <t xml:space="preserve">Amperímetros </t>
  </si>
  <si>
    <t>82.0</t>
  </si>
  <si>
    <t xml:space="preserve">Aparelhos digitais, de uso em veículos automóveis, para medida e indicação de múltiplas grandezas tais como: velocidade média, consumos instantâneo e médio e autonomia (computador de bordo) </t>
  </si>
  <si>
    <t>83.0</t>
  </si>
  <si>
    <t xml:space="preserve">Controladores eletrônicos </t>
  </si>
  <si>
    <t>84.0</t>
  </si>
  <si>
    <t xml:space="preserve">Relógios para painéis de instrumentos e relógios semelhantes </t>
  </si>
  <si>
    <t>85.0</t>
  </si>
  <si>
    <t>9401.20.00 9401.90.90</t>
  </si>
  <si>
    <t xml:space="preserve">Assentos e partes de assentos </t>
  </si>
  <si>
    <t>86.0</t>
  </si>
  <si>
    <t xml:space="preserve">Acendedores </t>
  </si>
  <si>
    <t>87.0</t>
  </si>
  <si>
    <t xml:space="preserve">Tubos de borracha vulcanizada não endurecida, mesmo providos de seus acessórios </t>
  </si>
  <si>
    <t>88.0</t>
  </si>
  <si>
    <t xml:space="preserve">Juntas de vedação de cortiça natural e de amianto </t>
  </si>
  <si>
    <t>89.0</t>
  </si>
  <si>
    <t xml:space="preserve">Papel-diagrama para tacógrafo, em disco </t>
  </si>
  <si>
    <t>90.0</t>
  </si>
  <si>
    <t xml:space="preserve">Fitas, tiras, adesivos, autocolantes, de plástico, refletores, mesmo em rolos; placas metálicas com película de plástico refletora, próprias para colocação em carrocerias, para-choques de veículos de carga, motocicletas, ciclomotores, capacetes, bonés de agentes de trânsito e de condutores de veículos, atuando como dispositivos refletivos de segurança rodoviários </t>
  </si>
  <si>
    <t>91.0</t>
  </si>
  <si>
    <t xml:space="preserve">Cilindros pneumáticos </t>
  </si>
  <si>
    <t>92.0</t>
  </si>
  <si>
    <t xml:space="preserve">Bomba elétrica de lavador de para-brisa </t>
  </si>
  <si>
    <t>93.0</t>
  </si>
  <si>
    <t xml:space="preserve">Bomba de assistência de direção hidráulica </t>
  </si>
  <si>
    <t>94.0</t>
  </si>
  <si>
    <t xml:space="preserve">Motoventiladores </t>
  </si>
  <si>
    <t>95.0</t>
  </si>
  <si>
    <t xml:space="preserve">Filtros de pólen do ar-condicionado </t>
  </si>
  <si>
    <t>96.0</t>
  </si>
  <si>
    <t xml:space="preserve">“Máquina” de vidro elétrico de porta </t>
  </si>
  <si>
    <t>97.0</t>
  </si>
  <si>
    <t xml:space="preserve">Motor de limpador de para-brisa </t>
  </si>
  <si>
    <t>98.0</t>
  </si>
  <si>
    <t xml:space="preserve">Bobinas de reatância e de autoindução </t>
  </si>
  <si>
    <t>99.0</t>
  </si>
  <si>
    <t>8507.20
8507.30</t>
  </si>
  <si>
    <t>100.0</t>
  </si>
  <si>
    <t xml:space="preserve">Aparelhos de sinalização acústica (buzina) </t>
  </si>
  <si>
    <t>101.0</t>
  </si>
  <si>
    <t>9032.89.8 9032.89.9</t>
  </si>
  <si>
    <t xml:space="preserve">Instrumentos para regulação de grandezas não elétricas </t>
  </si>
  <si>
    <t>102.0</t>
  </si>
  <si>
    <t xml:space="preserve">Analisadores de gases ou de fumaça (sonda lambda) </t>
  </si>
  <si>
    <t>103.0</t>
  </si>
  <si>
    <t xml:space="preserve">Perfilados de borracha vulcanizada não endurecida </t>
  </si>
  <si>
    <t>104.0</t>
  </si>
  <si>
    <t xml:space="preserve">Artefatos de pasta de fibra de uso automotivo </t>
  </si>
  <si>
    <t>105.0</t>
  </si>
  <si>
    <t xml:space="preserve">Tapetes/carpetes – nailón </t>
  </si>
  <si>
    <t>106.0</t>
  </si>
  <si>
    <t xml:space="preserve">Tapetes de matérias têxteis sintéticas </t>
  </si>
  <si>
    <t>107.0</t>
  </si>
  <si>
    <t xml:space="preserve">Forração interior capacete </t>
  </si>
  <si>
    <t>108.0</t>
  </si>
  <si>
    <t xml:space="preserve">Outros para-brisas </t>
  </si>
  <si>
    <t>109.0</t>
  </si>
  <si>
    <t xml:space="preserve">Moldura com espelho </t>
  </si>
  <si>
    <t>110.0</t>
  </si>
  <si>
    <t xml:space="preserve">Corrente de transmissão </t>
  </si>
  <si>
    <t>111.0</t>
  </si>
  <si>
    <t xml:space="preserve">Corrente transmissão </t>
  </si>
  <si>
    <t>112.0</t>
  </si>
  <si>
    <t>113.0</t>
  </si>
  <si>
    <t xml:space="preserve">Condensador tubular metálico </t>
  </si>
  <si>
    <t>114.0</t>
  </si>
  <si>
    <t xml:space="preserve">Trocadores de calor </t>
  </si>
  <si>
    <t>115.0</t>
  </si>
  <si>
    <t xml:space="preserve">Partes de aparelhos mecânicos de pulverizar ou dispersar </t>
  </si>
  <si>
    <t>116.0</t>
  </si>
  <si>
    <t xml:space="preserve">Macacos manuais para veículos </t>
  </si>
  <si>
    <t>117.0</t>
  </si>
  <si>
    <t xml:space="preserve">Caçambas, pás, ganchos e tenazes para máquinas rodoviárias </t>
  </si>
  <si>
    <t>118.0</t>
  </si>
  <si>
    <t xml:space="preserve">Geradores de corrente alternada de potência não superior a 75 kva </t>
  </si>
  <si>
    <t>119.0</t>
  </si>
  <si>
    <t xml:space="preserve">Aparelhos elétricos para alarme de uso automotivo </t>
  </si>
  <si>
    <t>120.0</t>
  </si>
  <si>
    <t xml:space="preserve">Bússolas </t>
  </si>
  <si>
    <t>121.0</t>
  </si>
  <si>
    <t xml:space="preserve">Indicadores de temperatura </t>
  </si>
  <si>
    <t>122.0</t>
  </si>
  <si>
    <t xml:space="preserve">Partes de indicadores de temperatura </t>
  </si>
  <si>
    <t>123.0</t>
  </si>
  <si>
    <t xml:space="preserve">Partes de aparelhos de medida ou controle </t>
  </si>
  <si>
    <t>124.0</t>
  </si>
  <si>
    <t xml:space="preserve">Termostatos </t>
  </si>
  <si>
    <t>125.0</t>
  </si>
  <si>
    <t xml:space="preserve">Instrumentos e aparelhos para regulação </t>
  </si>
  <si>
    <t>126.0</t>
  </si>
  <si>
    <t>127.0</t>
  </si>
  <si>
    <t>128.0</t>
  </si>
  <si>
    <t>999.0[1]</t>
  </si>
  <si>
    <t>[1] Item constante apenas no Protocolo ICMS 97/2010</t>
  </si>
  <si>
    <t>Art. 93 e 94 do Anexo X do Dec. 21.866/23</t>
  </si>
  <si>
    <t>MVA ORIGINAL</t>
  </si>
  <si>
    <t>ANEXO X – SEGMENTO: AUTOPEÇAS</t>
  </si>
  <si>
    <t>Versão: 001</t>
  </si>
  <si>
    <t>Unidade Federada Destinatária / Declarante: PIAUI</t>
  </si>
  <si>
    <t>DESCRIÇÃO</t>
  </si>
  <si>
    <t>Água mineral, gasosa ou não, ou potável, naturais, adicionadas de sais, em embalagem de vidro descartável.</t>
  </si>
  <si>
    <t>Água mineral, gasosa ou não, ou potável, naturais, adicionadas de sais, em copo plástico descartável.</t>
  </si>
  <si>
    <t>Água mineral, gasosa ou não, ou potável, naturais, em jarra descartável</t>
  </si>
  <si>
    <t>Água mineral, gasosa ou não, ou potável, naturais, adicionadas de sais, em jarra descartável</t>
  </si>
  <si>
    <t>Água mineral, gasosa ou não, ou potável, naturais, em demais embalagens descartáveis</t>
  </si>
  <si>
    <t>Água mineral, gasosa ou não, ou potável, naturais, adicionadas de sais, em demais embalagens descartáveis</t>
  </si>
  <si>
    <t>Outras águas minerais, potáveis ou naturais, gasosas ou não, inclusive gaseificadas</t>
  </si>
  <si>
    <t>Águas minerais, potáveis ou naturais, gasosas ou não, inclusive gaseificadas ou aromatizadas artificialmente, exceto os refrescos e refrigerantes</t>
  </si>
  <si>
    <t>Outras águas minerais, potáveis ou naturais, gasosas ou não, inclusive gaseificadas ou aromatizadas artificialmente</t>
  </si>
  <si>
    <t>Refrigerantes em garrafa com capacidade igual ou superior a 600 ml, exceto os classificados no CEST 03.011.01</t>
  </si>
  <si>
    <t>Refrigerante em embalagem pet</t>
  </si>
  <si>
    <t>Refrigerante em lata</t>
  </si>
  <si>
    <t>Demais refrigerantes</t>
  </si>
  <si>
    <t>Espumantes sem álcool</t>
  </si>
  <si>
    <t>Xarope ou extrato concentrado destinados ao preparo de refrigerante em máquina “pré-mix” ou “post-mix</t>
  </si>
  <si>
    <t>Cápsula de refrigerante</t>
  </si>
  <si>
    <t>Bebidas energéticas em embalagem com capacidade inferior a 600ml</t>
  </si>
  <si>
    <t>Bebidas energéticas em embalagem PET</t>
  </si>
  <si>
    <t>Bebidas energéticas em vidro</t>
  </si>
  <si>
    <t>Bebidas hidroeletrolíticas em embalagem com capacidade igual ou superior a 600ml</t>
  </si>
  <si>
    <t>Cerveja</t>
  </si>
  <si>
    <t>Cerveja em garrafa de vidro descartável</t>
  </si>
  <si>
    <t>Cerveja em garrafa de alumínio</t>
  </si>
  <si>
    <t>Cerveja em lata</t>
  </si>
  <si>
    <t>Cerveja em barril</t>
  </si>
  <si>
    <t>Cerveja em embalagem PET</t>
  </si>
  <si>
    <t>Cerveja em outras embalagens</t>
  </si>
  <si>
    <t>Chope</t>
  </si>
  <si>
    <t>Cerveja sem Álcool</t>
  </si>
  <si>
    <t>Cerveja sem álcool em garrafa de vidro descartável</t>
  </si>
  <si>
    <t>Cerveja sem álcool em garrafa de alumínio</t>
  </si>
  <si>
    <t>Cerveja sem álcool em lata</t>
  </si>
  <si>
    <t>Cerveja sem álcool em barril</t>
  </si>
  <si>
    <t>Cerveja sem álcool em embalagem PET</t>
  </si>
  <si>
    <t>Cerveja sem álcool em outras embalagens</t>
  </si>
  <si>
    <t>Cervejas que contenham, no mínimo, 0,35% (trinta e cinco centésimos por cento) de suco de caju concentrado e/ou suco integral de caju em sua composição e desde que comercializadas em embalagem de vidro ou em lata</t>
  </si>
  <si>
    <t>ANEXO X– SEGMENTO:  ÁGUAS E BEBIDAS FRIAS</t>
  </si>
  <si>
    <t>03.001.00</t>
  </si>
  <si>
    <t>03.002.00</t>
  </si>
  <si>
    <t>03.003.01</t>
  </si>
  <si>
    <t>03.004.00</t>
  </si>
  <si>
    <t>03.005.01</t>
  </si>
  <si>
    <t>03.005.02</t>
  </si>
  <si>
    <t>03.005.03</t>
  </si>
  <si>
    <t>03.005.05</t>
  </si>
  <si>
    <t>03.006.00</t>
  </si>
  <si>
    <t>03.007.00</t>
  </si>
  <si>
    <t>03.012.01</t>
  </si>
  <si>
    <t>03.013.02</t>
  </si>
  <si>
    <t>03.016.00</t>
  </si>
  <si>
    <t>03.021.01</t>
  </si>
  <si>
    <t>03.021.02</t>
  </si>
  <si>
    <t>03.021.03</t>
  </si>
  <si>
    <t>03.021.04</t>
  </si>
  <si>
    <t>03.021.06</t>
  </si>
  <si>
    <t>03.022.00</t>
  </si>
  <si>
    <t>03.022.01</t>
  </si>
  <si>
    <t>03.022.02</t>
  </si>
  <si>
    <t>03.022.03</t>
  </si>
  <si>
    <t>03.022.04</t>
  </si>
  <si>
    <t>03.022.05</t>
  </si>
  <si>
    <t>03.022.06</t>
  </si>
  <si>
    <t>NCM</t>
  </si>
  <si>
    <t>2201.10.00</t>
  </si>
  <si>
    <t>2202.10.00</t>
  </si>
  <si>
    <t>2202.99.00</t>
  </si>
  <si>
    <t>2202.10.00 
2202.99.00</t>
  </si>
  <si>
    <t>2106.90.10</t>
  </si>
  <si>
    <t>2106.9</t>
  </si>
  <si>
    <t>2106.90
2202.99.00</t>
  </si>
  <si>
    <t>2106.90 
2202.99.00</t>
  </si>
  <si>
    <t>2106.90 
2202.90.00</t>
  </si>
  <si>
    <t>2203.00.00</t>
  </si>
  <si>
    <t>2202.91.00</t>
  </si>
  <si>
    <t>2205
2208.90.00</t>
  </si>
  <si>
    <t>2205
2206.00.90
2208.90.00</t>
  </si>
  <si>
    <t>2206.00.90
2208.90.00</t>
  </si>
  <si>
    <t>Aguardente vínica/grappa</t>
  </si>
  <si>
    <t>Vinhos de uvas frescas, incluindo os vinhos enriquecidos com álcool; mostos de uva</t>
  </si>
  <si>
    <t>2205
2208</t>
  </si>
  <si>
    <t>PT13/15</t>
  </si>
  <si>
    <t>PT13/16</t>
  </si>
  <si>
    <t>PT13/17</t>
  </si>
  <si>
    <t>PT13/18</t>
  </si>
  <si>
    <t>PT13/19</t>
  </si>
  <si>
    <t>PT13/20</t>
  </si>
  <si>
    <t>PT13/21</t>
  </si>
  <si>
    <t>PT13/22</t>
  </si>
  <si>
    <t>PT13/23</t>
  </si>
  <si>
    <t>PT13/24</t>
  </si>
  <si>
    <t>PT13/25</t>
  </si>
  <si>
    <t>PT13/26</t>
  </si>
  <si>
    <t>PT13/27</t>
  </si>
  <si>
    <t>PT13/28</t>
  </si>
  <si>
    <t>PT13/29</t>
  </si>
  <si>
    <t>PT13/30</t>
  </si>
  <si>
    <t>Art. 53 e 54 do Anexo X do Dec. 21.866/23; Ato Normativo UNATRI nº 25/21</t>
  </si>
  <si>
    <t xml:space="preserve">MVA ORIGINAL </t>
  </si>
  <si>
    <t>27% + 2% FECOP</t>
  </si>
  <si>
    <t>Unidade Federada Destinatária / Declarante:PIAUI</t>
  </si>
  <si>
    <t>Produção de efeitos a partir de 08/03/2023</t>
  </si>
  <si>
    <t xml:space="preserve">2208.40.00 </t>
  </si>
  <si>
    <t>Cachaça e aguardentes 
(Produzidas em outras Unidades da Federação)</t>
  </si>
  <si>
    <r>
      <t>Cachaça e aguardentes 
(</t>
    </r>
    <r>
      <rPr>
        <u/>
        <sz val="10"/>
        <color theme="1"/>
        <rFont val="Segoe UI Historic"/>
        <family val="2"/>
      </rPr>
      <t>Produzidas no Pìauí</t>
    </r>
    <r>
      <rPr>
        <sz val="10"/>
        <color theme="1"/>
        <rFont val="Segoe UI Historic"/>
        <family val="2"/>
      </rPr>
      <t>)</t>
    </r>
  </si>
  <si>
    <t>21% +2%</t>
  </si>
  <si>
    <t>Art. 55 a 58 do Anexo X do Dec. 21.866/23.</t>
  </si>
  <si>
    <t>33% + 2% (FECOP)</t>
  </si>
  <si>
    <t>MVA-ST ORIGINAL</t>
  </si>
  <si>
    <t>ORIGEM 7%</t>
  </si>
  <si>
    <t>ORIGEM 12%</t>
  </si>
  <si>
    <t>IMPORTADA 4%</t>
  </si>
  <si>
    <t xml:space="preserve"> Arts. 59 a 60 do Anexo X, do Dec. 21.866/23</t>
  </si>
  <si>
    <t>8539.52.00</t>
  </si>
  <si>
    <t xml:space="preserve">Lâmpadas eletrônicas </t>
  </si>
  <si>
    <t xml:space="preserve">Reatores para lâmpadas ou tubos de descargas </t>
  </si>
  <si>
    <t xml:space="preserve"> "Starter"</t>
  </si>
  <si>
    <r>
      <t>Lâmpadas de LED (</t>
    </r>
    <r>
      <rPr>
        <i/>
        <sz val="10"/>
        <color theme="1"/>
        <rFont val="Segoe UI Historic"/>
        <family val="2"/>
      </rPr>
      <t>Diodos Emissores de Luz)</t>
    </r>
  </si>
  <si>
    <t>Arts. 73 e 74 do Anexo X do Dec. 21.866/23</t>
  </si>
  <si>
    <t>Medicamentos genérico – positiva, exceto para uso veterinário</t>
  </si>
  <si>
    <t>2.1</t>
  </si>
  <si>
    <t>Medicamentos genérico – negativa, exceto para uso veterinário</t>
  </si>
  <si>
    <t>2.2</t>
  </si>
  <si>
    <t>Medicamentos genérico – neutra, exceto para uso veterinário</t>
  </si>
  <si>
    <t>Medicamentos similar – positiva, exceto para uso veterinário</t>
  </si>
  <si>
    <t>3.1</t>
  </si>
  <si>
    <t>Medicamentos similar – negativa, exceto para uso veterinário</t>
  </si>
  <si>
    <t>3.2</t>
  </si>
  <si>
    <t>Medicamentos similar – neutra, exceto para uso veterinário</t>
  </si>
  <si>
    <t>4.1</t>
  </si>
  <si>
    <t>4.2</t>
  </si>
  <si>
    <r>
      <rPr>
        <sz val="12"/>
        <color rgb="FF000000"/>
        <rFont val="Quattrocento Sans"/>
      </rPr>
      <t xml:space="preserve">Preparações químicas contraceptivas de </t>
    </r>
    <r>
      <rPr>
        <b/>
        <sz val="12"/>
        <color rgb="FF000000"/>
        <rFont val="Segoe UI Historic"/>
        <family val="2"/>
      </rPr>
      <t xml:space="preserve">referência, </t>
    </r>
    <r>
      <rPr>
        <sz val="12"/>
        <color rgb="FF000000"/>
        <rFont val="Segoe UI Historic"/>
        <family val="2"/>
      </rPr>
      <t>à base de hormônios, de outros produtos da posição 29.37 ou de espermicidas -</t>
    </r>
    <r>
      <rPr>
        <b/>
        <sz val="12"/>
        <color rgb="FF000000"/>
        <rFont val="Segoe UI Historic"/>
        <family val="2"/>
      </rPr>
      <t xml:space="preserve"> positiva.</t>
    </r>
  </si>
  <si>
    <t>5.1</t>
  </si>
  <si>
    <r>
      <rPr>
        <sz val="12"/>
        <color rgb="FF000000"/>
        <rFont val="Quattrocento Sans"/>
      </rPr>
      <t xml:space="preserve">Preparações químicas contraceptivas de </t>
    </r>
    <r>
      <rPr>
        <b/>
        <sz val="12"/>
        <color rgb="FF000000"/>
        <rFont val="Segoe UI Historic"/>
        <family val="2"/>
      </rPr>
      <t>referência</t>
    </r>
    <r>
      <rPr>
        <sz val="12"/>
        <color rgb="FF000000"/>
        <rFont val="Segoe UI Historic"/>
        <family val="2"/>
      </rPr>
      <t xml:space="preserve">, à base de hormônios, de outros produtos da posição 29.37 ou de espermicidas - </t>
    </r>
    <r>
      <rPr>
        <b/>
        <sz val="12"/>
        <color rgb="FF000000"/>
        <rFont val="Segoe UI Historic"/>
        <family val="2"/>
      </rPr>
      <t>negativa.</t>
    </r>
  </si>
  <si>
    <t>13.005.02</t>
  </si>
  <si>
    <r>
      <rPr>
        <sz val="12"/>
        <color rgb="FF000000"/>
        <rFont val="Quattrocento Sans"/>
      </rPr>
      <t>Preparações químicas contraceptivas</t>
    </r>
    <r>
      <rPr>
        <b/>
        <sz val="12"/>
        <color rgb="FF000000"/>
        <rFont val="Segoe UI Historic"/>
        <family val="2"/>
      </rPr>
      <t xml:space="preserve"> genérico</t>
    </r>
    <r>
      <rPr>
        <sz val="12"/>
        <color rgb="FF000000"/>
        <rFont val="Segoe UI Historic"/>
        <family val="2"/>
      </rPr>
      <t xml:space="preserve">, à base de hormônios, de outros produtos da posição 29.37 ou de espermicidas – </t>
    </r>
    <r>
      <rPr>
        <b/>
        <sz val="12"/>
        <color rgb="FF000000"/>
        <rFont val="Segoe UI Historic"/>
        <family val="2"/>
      </rPr>
      <t>positiva.</t>
    </r>
  </si>
  <si>
    <t>13.005.03</t>
  </si>
  <si>
    <r>
      <rPr>
        <sz val="12"/>
        <color rgb="FF000000"/>
        <rFont val="Quattrocento Sans"/>
      </rPr>
      <t xml:space="preserve">Preparações químicas contraceptivas </t>
    </r>
    <r>
      <rPr>
        <b/>
        <sz val="12"/>
        <color rgb="FF000000"/>
        <rFont val="Segoe UI Historic"/>
        <family val="2"/>
      </rPr>
      <t>genérico</t>
    </r>
    <r>
      <rPr>
        <sz val="12"/>
        <color rgb="FF000000"/>
        <rFont val="Segoe UI Historic"/>
        <family val="2"/>
      </rPr>
      <t xml:space="preserve">, à base de hormônios, de outros produtos da posição 29.37 ou de espermicidas – </t>
    </r>
    <r>
      <rPr>
        <b/>
        <sz val="12"/>
        <color rgb="FF000000"/>
        <rFont val="Segoe UI Historic"/>
        <family val="2"/>
      </rPr>
      <t>negativa.</t>
    </r>
  </si>
  <si>
    <t>13.005.04</t>
  </si>
  <si>
    <r>
      <rPr>
        <sz val="12"/>
        <color rgb="FF000000"/>
        <rFont val="Quattrocento Sans"/>
      </rPr>
      <t xml:space="preserve">Preparações químicas contraceptivas </t>
    </r>
    <r>
      <rPr>
        <b/>
        <sz val="12"/>
        <color rgb="FF000000"/>
        <rFont val="Segoe UI Historic"/>
        <family val="2"/>
      </rPr>
      <t>similar</t>
    </r>
    <r>
      <rPr>
        <sz val="12"/>
        <color rgb="FF000000"/>
        <rFont val="Segoe UI Historic"/>
        <family val="2"/>
      </rPr>
      <t xml:space="preserve">, à base de hormônios, de outros produtos da posição 29.37 ou de espermicidas – </t>
    </r>
    <r>
      <rPr>
        <b/>
        <sz val="12"/>
        <color rgb="FF000000"/>
        <rFont val="Segoe UI Historic"/>
        <family val="2"/>
      </rPr>
      <t>positiva.</t>
    </r>
  </si>
  <si>
    <t>13.005.05</t>
  </si>
  <si>
    <r>
      <rPr>
        <sz val="12"/>
        <color rgb="FF000000"/>
        <rFont val="Quattrocento Sans"/>
      </rPr>
      <t>Preparações químicas contraceptivas</t>
    </r>
    <r>
      <rPr>
        <b/>
        <sz val="12"/>
        <color rgb="FF000000"/>
        <rFont val="Segoe UI Historic"/>
        <family val="2"/>
      </rPr>
      <t xml:space="preserve"> similar,</t>
    </r>
    <r>
      <rPr>
        <sz val="12"/>
        <color rgb="FF000000"/>
        <rFont val="Segoe UI Historic"/>
        <family val="2"/>
      </rPr>
      <t xml:space="preserve"> à base de hormônios, de outros produtos da posição 29.37 ou de espermicidas –</t>
    </r>
    <r>
      <rPr>
        <b/>
        <sz val="12"/>
        <color rgb="FF000000"/>
        <rFont val="Segoe UI Historic"/>
        <family val="2"/>
      </rPr>
      <t xml:space="preserve"> negativa.</t>
    </r>
  </si>
  <si>
    <t>7.1</t>
  </si>
  <si>
    <t>8.1</t>
  </si>
  <si>
    <t>9.1</t>
  </si>
  <si>
    <t>Vacinas e produtos semelhantes, exceto para uso veterinário – negativa</t>
  </si>
  <si>
    <t>Curativos (pensos) adesivos e outros artigos com uma camada adesiva, impregnados ou recobertos de substâncias farmacêuticas – Lista Positiva</t>
  </si>
  <si>
    <t>10.1</t>
  </si>
  <si>
    <t>Algodão, atadura, esparadrapo, gazes, pensos, sinapismos, e outros, acondicionados para venda a retalho para usos medicinais, cirúrgicos ou dentários, não impregnados ou recobertos de substâncias farmacêuticas – Lista Neutra</t>
  </si>
  <si>
    <t>4015.12.00
4015.19.00</t>
  </si>
  <si>
    <t>Luvas cirúrgicas e luvas de procedimento - neutra (acrescentado pelo Dec. 17.797, de 07/06/2018, art. 1°, com vigência a partir de 01/06/18) *</t>
  </si>
  <si>
    <t xml:space="preserve">Seringas, mesmo com agulhas – neutra </t>
  </si>
  <si>
    <t>3926.90.90</t>
  </si>
  <si>
    <t>9018.90.99</t>
  </si>
  <si>
    <r>
      <t>Observação:
I.</t>
    </r>
    <r>
      <rPr>
        <sz val="10"/>
        <rFont val="Arial"/>
        <family val="2"/>
      </rPr>
      <t xml:space="preserve"> Para os medicamentos, a Base de Cálculo de Substituição Tributária será o PMC publicado por revistas especializadas com desconto de 10% para os medicamentos de referência e similares e de 20% para os genéricos.
</t>
    </r>
    <r>
      <rPr>
        <b/>
        <sz val="10"/>
        <rFont val="Arial"/>
        <family val="2"/>
      </rPr>
      <t>II.</t>
    </r>
    <r>
      <rPr>
        <sz val="10"/>
        <rFont val="Arial"/>
        <family val="2"/>
      </rPr>
      <t xml:space="preserve"> Será adotado a MVA quando não tenha PMC específico
</t>
    </r>
    <r>
      <rPr>
        <b/>
        <sz val="10"/>
        <rFont val="Arial"/>
        <family val="2"/>
      </rPr>
      <t xml:space="preserve">III. </t>
    </r>
    <r>
      <rPr>
        <sz val="10"/>
        <rFont val="Arial"/>
        <family val="2"/>
      </rPr>
      <t xml:space="preserve">Relação de medicamentos com </t>
    </r>
    <r>
      <rPr>
        <b/>
        <u/>
        <sz val="10"/>
        <rFont val="Arial"/>
        <family val="2"/>
      </rPr>
      <t>possibilidade de isenção</t>
    </r>
    <r>
      <rPr>
        <sz val="10"/>
        <rFont val="Arial"/>
        <family val="2"/>
      </rPr>
      <t xml:space="preserve">:
a) se destinado ao tratamento da AIDS, vide relação no Convênio ICMS 10/02
b) se destinado ao tratamento do câncer, vide relação no Convênio 162/94
c) medicamentos relacionados no Convênio ICMS 140/01                                                                                                                                                                                                        
</t>
    </r>
  </si>
  <si>
    <t>ORIGINAL</t>
  </si>
  <si>
    <r>
      <rPr>
        <sz val="12"/>
        <color theme="1"/>
        <rFont val="Quattrocento Sans"/>
      </rPr>
      <t>Pneus novos, dos tipos utilizados em</t>
    </r>
    <r>
      <rPr>
        <b/>
        <sz val="12"/>
        <color theme="1"/>
        <rFont val="Segoe UI Historic"/>
        <family val="2"/>
      </rPr>
      <t xml:space="preserve"> automóveis de passageiros</t>
    </r>
    <r>
      <rPr>
        <sz val="12"/>
        <color theme="1"/>
        <rFont val="Segoe UI Historic"/>
        <family val="2"/>
      </rPr>
      <t xml:space="preserve"> (incluídos os veículos de uso misto - camionetas e os automóveis de corrida)</t>
    </r>
  </si>
  <si>
    <r>
      <rPr>
        <sz val="12"/>
        <color theme="1"/>
        <rFont val="Quattrocento Sans"/>
      </rPr>
      <t xml:space="preserve">Pneus novos, dos tipos utilizados em </t>
    </r>
    <r>
      <rPr>
        <b/>
        <sz val="12"/>
        <color theme="1"/>
        <rFont val="Segoe UI Historic"/>
        <family val="2"/>
      </rPr>
      <t>caminhões</t>
    </r>
    <r>
      <rPr>
        <sz val="12"/>
        <color theme="1"/>
        <rFont val="Segoe UI Historic"/>
        <family val="2"/>
      </rPr>
      <t xml:space="preserve"> (inclusive para os fora-de-estrada),</t>
    </r>
    <r>
      <rPr>
        <b/>
        <sz val="12"/>
        <color theme="1"/>
        <rFont val="Segoe UI Historic"/>
        <family val="2"/>
      </rPr>
      <t xml:space="preserve"> ônibus, aviões, máquinas de terraplenagem, de construção </t>
    </r>
    <r>
      <rPr>
        <sz val="12"/>
        <color theme="1"/>
        <rFont val="Segoe UI Historic"/>
        <family val="2"/>
      </rPr>
      <t xml:space="preserve">e conservação de estradas, </t>
    </r>
    <r>
      <rPr>
        <b/>
        <sz val="12"/>
        <color theme="1"/>
        <rFont val="Segoe UI Historic"/>
        <family val="2"/>
      </rPr>
      <t>máquinas e tratores agrícolas</t>
    </r>
    <r>
      <rPr>
        <sz val="12"/>
        <color theme="1"/>
        <rFont val="Segoe UI Historic"/>
        <family val="2"/>
      </rPr>
      <t>, pá-carregadeira</t>
    </r>
  </si>
  <si>
    <r>
      <rPr>
        <sz val="12"/>
        <color theme="1"/>
        <rFont val="Quattrocento Sans"/>
      </rPr>
      <t xml:space="preserve">Pneus novos para </t>
    </r>
    <r>
      <rPr>
        <b/>
        <sz val="12"/>
        <color theme="1"/>
        <rFont val="Segoe UI Historic"/>
        <family val="2"/>
      </rPr>
      <t>motocicletas</t>
    </r>
  </si>
  <si>
    <r>
      <rPr>
        <b/>
        <sz val="12"/>
        <color theme="1"/>
        <rFont val="Segoe UI Historic"/>
        <family val="2"/>
      </rPr>
      <t>Outros tipos de pneus novos</t>
    </r>
    <r>
      <rPr>
        <sz val="12"/>
        <color theme="1"/>
        <rFont val="Segoe UI Historic"/>
        <family val="2"/>
      </rPr>
      <t>, exceto os utilizados em bicicletas</t>
    </r>
  </si>
  <si>
    <r>
      <rPr>
        <b/>
        <sz val="12"/>
        <color theme="1"/>
        <rFont val="Segoe UI Historic"/>
        <family val="2"/>
      </rPr>
      <t>Protetores de borracha,</t>
    </r>
    <r>
      <rPr>
        <sz val="12"/>
        <color theme="1"/>
        <rFont val="Segoe UI Historic"/>
        <family val="2"/>
      </rPr>
      <t xml:space="preserve"> </t>
    </r>
    <r>
      <rPr>
        <b/>
        <sz val="12"/>
        <color theme="1"/>
        <rFont val="Segoe UI Historic"/>
        <family val="2"/>
      </rPr>
      <t>exceto</t>
    </r>
    <r>
      <rPr>
        <sz val="12"/>
        <color theme="1"/>
        <rFont val="Segoe UI Historic"/>
        <family val="2"/>
      </rPr>
      <t xml:space="preserve"> os utilizados em</t>
    </r>
    <r>
      <rPr>
        <b/>
        <sz val="12"/>
        <color theme="1"/>
        <rFont val="Segoe UI Historic"/>
        <family val="2"/>
      </rPr>
      <t xml:space="preserve"> bicicletas</t>
    </r>
  </si>
  <si>
    <r>
      <rPr>
        <b/>
        <sz val="12"/>
        <color theme="1"/>
        <rFont val="Segoe UI Historic"/>
        <family val="2"/>
      </rPr>
      <t>Câmaras de ar de borracha, exceto</t>
    </r>
    <r>
      <rPr>
        <sz val="12"/>
        <color theme="1"/>
        <rFont val="Segoe UI Historic"/>
        <family val="2"/>
      </rPr>
      <t xml:space="preserve"> as utilizados em </t>
    </r>
    <r>
      <rPr>
        <b/>
        <sz val="12"/>
        <color theme="1"/>
        <rFont val="Segoe UI Historic"/>
        <family val="2"/>
      </rPr>
      <t>bicicletas</t>
    </r>
  </si>
  <si>
    <r>
      <rPr>
        <b/>
        <sz val="12"/>
        <color theme="1"/>
        <rFont val="Segoe UI Historic"/>
        <family val="2"/>
      </rPr>
      <t xml:space="preserve">Pneus Recauchutados </t>
    </r>
    <r>
      <rPr>
        <sz val="12"/>
        <color theme="1"/>
        <rFont val="Segoe UI Historic"/>
        <family val="2"/>
      </rPr>
      <t xml:space="preserve">
</t>
    </r>
    <r>
      <rPr>
        <i/>
        <sz val="12"/>
        <color theme="1"/>
        <rFont val="Segoe UI Historic"/>
        <family val="2"/>
      </rPr>
      <t>(ANTECIPAÇÃO TOTAL)</t>
    </r>
  </si>
  <si>
    <t>Arts. 75 a 76 do Anexo X do Dec. 21.866/23</t>
  </si>
  <si>
    <t>Antecipação Total, na forma do art. 13, inciso III c/c art. 14 do Anexo X do Dec. 21.866/23</t>
  </si>
  <si>
    <t>(*) Quando os produtos PNEUS E CÂMARAS DE AR NOVOS (NCM: 4011 e 4013) forem remetidos por estabelecimento FABRICANTE ou IMPORTADOR, sujeitos ao regime de cobrança monofásica das contribuições para o PIS/PASEP e a COFINS, a base de cálculo do ICMS fica reduzida do valor resultante da aplicação dos seguintes percentuais:</t>
  </si>
  <si>
    <t>ORIGEM</t>
  </si>
  <si>
    <t>S, SE, Exceto ES</t>
  </si>
  <si>
    <t>N, NE, CO e ES</t>
  </si>
  <si>
    <t>IMPORTADO</t>
  </si>
  <si>
    <t>BASE LEGAL</t>
  </si>
  <si>
    <t>REDUÇÃO</t>
  </si>
  <si>
    <t>Conv. 06/09</t>
  </si>
  <si>
    <t xml:space="preserve"> Art. 95 e 96 do Anexo X do Dec. 21.866/23</t>
  </si>
  <si>
    <t xml:space="preserve">20.040.00 </t>
  </si>
  <si>
    <t>3924.90.00 
3926.90.40
3926.90.90</t>
  </si>
  <si>
    <t xml:space="preserve">20.063.00 </t>
  </si>
  <si>
    <t>3923.30.00
3924.90.00
3924.10.00 
4014.90.90
7010.20.00</t>
  </si>
  <si>
    <t>Fraldas</t>
  </si>
  <si>
    <t xml:space="preserve">Mamadeiras </t>
  </si>
  <si>
    <t xml:space="preserve">Tampões higiênicos </t>
  </si>
  <si>
    <t xml:space="preserve">Absorventes higiênicos externos </t>
  </si>
  <si>
    <t>TABELA XIV DA PARTE I DO ANEXO X – SEGMENTO: PRODUTOS DE PERFUMARIA E DE HIGIENE PESSOAL E COSMÉTICOS</t>
  </si>
  <si>
    <t>Arts. 71 e 72 do Anexo X do Dec. 21.866/23</t>
  </si>
  <si>
    <t>Prot. 16/85</t>
  </si>
  <si>
    <t>ALIQUOTA INTERNA</t>
  </si>
  <si>
    <t>Art. 80 e 81 do Anexo X do Dec. 21.866/23</t>
  </si>
  <si>
    <t xml:space="preserve">1806                1901           2106       </t>
  </si>
  <si>
    <t>Arts. 82 e 83 do Anexo X do Dec. 21.866/23</t>
  </si>
  <si>
    <t>3208
3209
3210.00</t>
  </si>
  <si>
    <t>2821
3204.17.00
3206</t>
  </si>
  <si>
    <t>24.002.01</t>
  </si>
  <si>
    <t>2821 
3204.17.00
3206</t>
  </si>
  <si>
    <t>3204
3205.00.00
3206/ 3212</t>
  </si>
  <si>
    <t>Tintas e vernizes</t>
  </si>
  <si>
    <t>Xadrez e pós assemelhados, em embalagem de conteúdo inferior ou igual a 1 kg, exceto pigmentos à base de dióxido de titânio classificados no código NCM 3206.11.10</t>
  </si>
  <si>
    <t>Xadrez e pós assemelhados, em embalagem de conteúdo superior a 1 kg, exceto pigmentos à base de dióxido de titânio classificados no código NCM 3206.11.10</t>
  </si>
  <si>
    <t>Arts. 84 e 85 do Anexo X do Dec. 21.866/23</t>
  </si>
  <si>
    <t>CV 118/18</t>
  </si>
  <si>
    <t xml:space="preserve">Art. 86 a 89 do Anexo X e art. 178, inciso XIV do Anexo VI ambos do Decreto 21.866/23 </t>
  </si>
  <si>
    <t>26.001.01</t>
  </si>
  <si>
    <t>Motocicletas (incluídos os ciclomotores) e outros ciclos equipados com motor auxiliar, mesmo com carro lateral; exceto os classificados nos cest 26.001.01</t>
  </si>
  <si>
    <t>bicicletas e outros ciclos (incluidos os triciculos ) com propulsão de motos elétrico auxiliar assistido pela força humana.</t>
  </si>
  <si>
    <r>
      <rPr>
        <sz val="10"/>
        <color rgb="FF000000"/>
        <rFont val="Arial"/>
        <family val="2"/>
      </rPr>
      <t>MVA-ST Alíquota de 4% :</t>
    </r>
    <r>
      <rPr>
        <b/>
        <sz val="10"/>
        <color rgb="FF000000"/>
        <rFont val="Arial"/>
        <family val="2"/>
      </rPr>
      <t xml:space="preserve"> 61,84%</t>
    </r>
  </si>
  <si>
    <r>
      <rPr>
        <sz val="10"/>
        <color rgb="FF000000"/>
        <rFont val="Arial"/>
        <family val="2"/>
      </rPr>
      <t xml:space="preserve">MVA-ST Alíquota de 7% </t>
    </r>
    <r>
      <rPr>
        <b/>
        <sz val="10"/>
        <color rgb="FF000000"/>
        <rFont val="Arial"/>
        <family val="2"/>
      </rPr>
      <t>: 57,75%</t>
    </r>
  </si>
  <si>
    <r>
      <rPr>
        <sz val="10"/>
        <color rgb="FF000000"/>
        <rFont val="Arial"/>
        <family val="2"/>
      </rPr>
      <t>MVA-ST Alíquota de 12%</t>
    </r>
    <r>
      <rPr>
        <b/>
        <sz val="10"/>
        <color rgb="FF000000"/>
        <rFont val="Arial"/>
        <family val="2"/>
      </rPr>
      <t xml:space="preserve"> : 49,27%</t>
    </r>
  </si>
  <si>
    <t>Caso haja redução na base de cálculo, o valor do imposto devido será igual: ((Preço sugerido pelo fabricante + frete) * 12%) - crédito destacado na NF</t>
  </si>
  <si>
    <t xml:space="preserve">BASE DE CÁLCULO </t>
  </si>
  <si>
    <t>Art.90 a 92 do Anexo X do Decreto 21.866/2023 RICMS/02</t>
  </si>
  <si>
    <r>
      <t>Observação:
I.</t>
    </r>
    <r>
      <rPr>
        <sz val="10"/>
        <color rgb="FF000000"/>
        <rFont val="Arial"/>
        <family val="2"/>
      </rPr>
      <t xml:space="preserve"> Para os veículos de fabricação nacional, a Base de Cálculo de Substituição Tributária será o preço sugerido por órgão competente ou, na falta desta, a sugerida pelo fabricante;
</t>
    </r>
    <r>
      <rPr>
        <b/>
        <sz val="10"/>
        <color rgb="FF000000"/>
        <rFont val="Arial"/>
        <family val="2"/>
      </rPr>
      <t>II.</t>
    </r>
    <r>
      <rPr>
        <sz val="10"/>
        <color rgb="FF000000"/>
        <rFont val="Arial"/>
        <family val="2"/>
      </rPr>
      <t xml:space="preserve"> Para os veículos importados,a Base de Cálculo de Substituição Tributária será o preço máximo ou único de venda fixado pela autoridade competente
</t>
    </r>
    <r>
      <rPr>
        <b/>
        <sz val="10"/>
        <color rgb="FF000000"/>
        <rFont val="Arial"/>
        <family val="2"/>
      </rPr>
      <t>III.</t>
    </r>
    <r>
      <rPr>
        <sz val="10"/>
        <color rgb="FF000000"/>
        <rFont val="Arial"/>
        <family val="2"/>
      </rPr>
      <t xml:space="preserve"> Será adotado a MVA quando não tenha preço sugerido ou preço máximo ou único de venda específico                </t>
    </r>
    <r>
      <rPr>
        <b/>
        <sz val="10"/>
        <color rgb="FF000000"/>
        <rFont val="Arial"/>
        <family val="2"/>
      </rPr>
      <t>IV</t>
    </r>
    <r>
      <rPr>
        <sz val="10"/>
        <color rgb="FF000000"/>
        <rFont val="Arial"/>
        <family val="2"/>
      </rPr>
      <t xml:space="preserve">. Há redução na base de cálculo de forma que a carga tributária fica em 12%,  conforme Anexo IV, art. 178 do RICMS - DECRETO 21.866/2023 (Conv. 200/2017)                                        </t>
    </r>
    <r>
      <rPr>
        <b/>
        <sz val="10"/>
        <color rgb="FF000000"/>
        <rFont val="Arial"/>
        <family val="2"/>
      </rPr>
      <t xml:space="preserve">                               </t>
    </r>
  </si>
  <si>
    <t xml:space="preserve">ALIQUOTA INTERNA </t>
  </si>
  <si>
    <t>TABELA XVI DA PARTE I  ANEXO X – SEGMENTO: SORVETES E PREPARADOS PARA FABRICAÇÃO DE SORVETES EM MÁQUINAS</t>
  </si>
  <si>
    <t>CV 20/05</t>
  </si>
  <si>
    <t>CONVÊNIO</t>
  </si>
  <si>
    <t>MVAS-ST ORIGINAIS</t>
  </si>
  <si>
    <r>
      <t>Observações:Produto com preço médio ponderado a consumidor final (PMPF) divulgado através do Ato Normativo Unatri nº 25/21. Quando o valor da operação própria do remetente for igual ou superior a 90% do PMPF publicado, o ICMS ST deverá ser calculado pelo valor real da operação, acrescido da MVA, na forma do art. 15, II, "c" do Anexo X do Dec. 21.866/23.</t>
    </r>
    <r>
      <rPr>
        <sz val="10"/>
        <rFont val="Arial"/>
        <family val="2"/>
      </rPr>
      <t xml:space="preserve">
</t>
    </r>
  </si>
  <si>
    <t>BASE DE CÁLCULO</t>
  </si>
  <si>
    <t>Origem: DEP/ DISTRIB/ ATACAD</t>
  </si>
  <si>
    <t>Origem: IND/ IMPORT./ ARREND./ ENGARR.</t>
  </si>
  <si>
    <t>ALÍQUOTA INTERNA</t>
  </si>
  <si>
    <r>
      <rPr>
        <sz val="11"/>
        <color rgb="FF000000"/>
        <rFont val="Quattrocento Sans"/>
      </rPr>
      <t xml:space="preserve">Água mineral, gasosa ou não, ou potável, naturais, em garrafa </t>
    </r>
    <r>
      <rPr>
        <b/>
        <sz val="11"/>
        <color rgb="FF000000"/>
        <rFont val="Segoe UI Historic"/>
      </rPr>
      <t>de vidro, retornável ou não, com capacidade de até 500 ml</t>
    </r>
  </si>
  <si>
    <t xml:space="preserve"> Produto com preço sugerido através do Ato Normativo Unatri nº 25/21, que representa o valor mínimo tributável, devendo ser aplicado, para a obtenção do débito do imposto.
Caso o produto não esteja listado no referido Ato Normativo, fazer cálculo usando a MVA.</t>
  </si>
  <si>
    <t>Prot. 11/91 e Prot. 10/92; art. 51 e 52 do Anexo X do Dec. 21.866/23;  Ato Normativo UNATRI nº 25/21</t>
  </si>
  <si>
    <r>
      <rPr>
        <sz val="11"/>
        <color rgb="FF000000"/>
        <rFont val="Quattrocento Sans"/>
      </rPr>
      <t xml:space="preserve">Água mineral, gasosa ou não, ou potável, naturais, em embalagem com </t>
    </r>
    <r>
      <rPr>
        <b/>
        <sz val="11"/>
        <color rgb="FF000000"/>
        <rFont val="Segoe UI Historic"/>
      </rPr>
      <t>capacidade igual ou superior a 5.000 ml</t>
    </r>
  </si>
  <si>
    <r>
      <rPr>
        <sz val="11"/>
        <color theme="1"/>
        <rFont val="Quattrocento Sans"/>
      </rPr>
      <t xml:space="preserve">Água mineral, gasosa ou não, ou potável, naturais, em embalagem </t>
    </r>
    <r>
      <rPr>
        <b/>
        <sz val="11"/>
        <color theme="1"/>
        <rFont val="Segoe UI Historic"/>
      </rPr>
      <t>de vidro, não retornável, com capacidade de até 300 ml</t>
    </r>
  </si>
  <si>
    <r>
      <rPr>
        <sz val="11"/>
        <color rgb="FF000000"/>
        <rFont val="Quattrocento Sans"/>
      </rPr>
      <t xml:space="preserve">Água mineral, gasosa ou não, ou potável, naturais, em </t>
    </r>
    <r>
      <rPr>
        <b/>
        <sz val="11"/>
        <color rgb="FF000000"/>
        <rFont val="Segoe UI Historic"/>
      </rPr>
      <t>garrafa plástica de 1.500 ml</t>
    </r>
  </si>
  <si>
    <r>
      <rPr>
        <sz val="11"/>
        <color theme="1"/>
        <rFont val="Quattrocento Sans"/>
      </rPr>
      <t xml:space="preserve">Água mineral, gasosa ou não, ou potável, naturais, em </t>
    </r>
    <r>
      <rPr>
        <b/>
        <sz val="11"/>
        <color theme="1"/>
        <rFont val="Segoe UI Historic"/>
      </rPr>
      <t>copos plásticos e embalagem plástica com capacidade de até 500 ml</t>
    </r>
  </si>
  <si>
    <t>Produto com preço sugerido através do Ato Normativo Unatri nº 25/21, que representa o valor mínimo tributável, devendo ser aplicado, para a obtenção do débito do imposto.
Caso o produto não esteja listado no referido Ato Normativo, fazer cálculo usando a MVA.</t>
  </si>
  <si>
    <t>21% + 2% de FECOP</t>
  </si>
  <si>
    <t>27% + 2% de FECOP</t>
  </si>
  <si>
    <r>
      <t>21%</t>
    </r>
    <r>
      <rPr>
        <b/>
        <sz val="8"/>
        <rFont val="Arial"/>
        <family val="2"/>
      </rPr>
      <t xml:space="preserve"> NÃO TEM FECOP</t>
    </r>
  </si>
  <si>
    <t>Lista Negativa</t>
  </si>
  <si>
    <t>Lista positiva</t>
  </si>
  <si>
    <t>Lista Neutra</t>
  </si>
  <si>
    <r>
      <t xml:space="preserve">Observações:
</t>
    </r>
    <r>
      <rPr>
        <sz val="10"/>
        <color rgb="FF000000"/>
        <rFont val="Arial"/>
        <family val="2"/>
      </rPr>
      <t xml:space="preserve">I - Será adotado a MVA quando não tenha preço sugerido do fabricante  ou o valor da operação própria do remetente for igual ou superior a 90% do preço a consumidor final constante na Tabela do Fabricante                                                                                                                                                                                           </t>
    </r>
  </si>
  <si>
    <t>Tabela XI do anexo V-A do Decreto 21.866/2023</t>
  </si>
  <si>
    <t xml:space="preserve">CONVÊNIO 234/17 </t>
  </si>
  <si>
    <t>E ART. 77 A 79 DO ANEXO X DO DECRETO 21.866/23</t>
  </si>
  <si>
    <t>MEDICAMENTOS DE USO HUMANO E OUTROS PRODUTOS FARMACÊUTICOS  PARA USO HUMANO OU VETERINÁRIO 
(Tabela XI do Anexo X do Dec. 21.866/23)</t>
  </si>
  <si>
    <r>
      <rPr>
        <i/>
        <sz val="11"/>
        <color rgb="FFFF0000"/>
        <rFont val="Quattrocento Sans"/>
      </rPr>
      <t xml:space="preserve">(*) Conforme Lei Nº 7.369, de 27/03/2020, fica estabelecida alíquota interna de </t>
    </r>
    <r>
      <rPr>
        <b/>
        <i/>
        <sz val="11"/>
        <color rgb="FFFF0000"/>
        <rFont val="Segoe UI Historic"/>
        <family val="2"/>
      </rPr>
      <t>12%</t>
    </r>
    <r>
      <rPr>
        <i/>
        <sz val="11"/>
        <color rgb="FFFF0000"/>
        <rFont val="Segoe UI Historic"/>
        <family val="2"/>
      </rPr>
      <t xml:space="preserve"> para as luvas cirúrgicas e luvas de procedimento (Vigente de 27/03/2020 até 27/07/2020)</t>
    </r>
  </si>
  <si>
    <t>Descrição CEST</t>
  </si>
  <si>
    <t>Descrição PRODUTO</t>
  </si>
  <si>
    <t>Referência (Kg)</t>
  </si>
  <si>
    <r>
      <rPr>
        <b/>
        <sz val="11"/>
        <color rgb="FF000000"/>
        <rFont val="Quattrocento Sans"/>
      </rPr>
      <t xml:space="preserve">UF PROTOCOLO
 </t>
    </r>
    <r>
      <rPr>
        <b/>
        <sz val="10"/>
        <color rgb="FF000000"/>
        <rFont val="Quattrocento Sans"/>
      </rPr>
      <t>(AL, BA, CE, PE, PB, RN e SE)</t>
    </r>
  </si>
  <si>
    <t>DEMAIS UF</t>
  </si>
  <si>
    <t>Macarrão Instântaneo</t>
  </si>
  <si>
    <t>Macarrão Instântaneo em embalagem térmica</t>
  </si>
  <si>
    <t>17.048.00</t>
  </si>
  <si>
    <t>Massas alimentícias, cozidas ou recheadas (de carne ou de outras substâncias) ou preparadas de outro modo, exceto as descritas no CEST 17.047.00, 17.048.01 e 17.048.02</t>
  </si>
  <si>
    <t>Massas Cozidas Não Recheadas</t>
  </si>
  <si>
    <t>17.048.02</t>
  </si>
  <si>
    <t>1902.20.00</t>
  </si>
  <si>
    <t>Massas alimentícias recheadas 
(mesmo cozidas ou preparadas de outro modo)</t>
  </si>
  <si>
    <t>Lasanha</t>
  </si>
  <si>
    <t>Salgado</t>
  </si>
  <si>
    <t>Macarrão</t>
  </si>
  <si>
    <t>Demais massas recheadas</t>
  </si>
  <si>
    <t>17.049.02
17.049.05</t>
  </si>
  <si>
    <t>1902.11.00
1902.19.00</t>
  </si>
  <si>
    <r>
      <rPr>
        <sz val="11"/>
        <color rgb="FF000000"/>
        <rFont val="Quattrocento Sans"/>
      </rPr>
      <t xml:space="preserve">- Massas alimentícias do tipo </t>
    </r>
    <r>
      <rPr>
        <b/>
        <sz val="11"/>
        <color rgb="FF000000"/>
        <rFont val="Quattrocento Sans"/>
      </rPr>
      <t>granoduro</t>
    </r>
    <r>
      <rPr>
        <sz val="11"/>
        <color rgb="FF000000"/>
        <rFont val="Quattrocento Sans"/>
      </rPr>
      <t>, não cozidas, nem recheadas, nem preparadas de outro modo, que contenham ovos</t>
    </r>
    <r>
      <rPr>
        <b/>
        <sz val="11"/>
        <color rgb="FF000000"/>
        <rFont val="Quattrocento Sans"/>
      </rPr>
      <t xml:space="preserve">
</t>
    </r>
    <r>
      <rPr>
        <sz val="11"/>
        <color rgb="FF000000"/>
        <rFont val="Quattrocento Sans"/>
      </rPr>
      <t xml:space="preserve">-Outras massas alimentícias do tipo </t>
    </r>
    <r>
      <rPr>
        <b/>
        <sz val="11"/>
        <color rgb="FF000000"/>
        <rFont val="Quattrocento Sans"/>
      </rPr>
      <t>granoduro</t>
    </r>
    <r>
      <rPr>
        <sz val="11"/>
        <color rgb="FF000000"/>
        <rFont val="Quattrocento Sans"/>
      </rPr>
      <t>, não cozidas, nem recheadas, nem preparadas de outro modo, que não contenham ovos</t>
    </r>
  </si>
  <si>
    <t>Massas alimentícias do tipo grano duro</t>
  </si>
  <si>
    <t>17.049.03
17.049.06</t>
  </si>
  <si>
    <t>1902.19.00
1902.11.00</t>
  </si>
  <si>
    <r>
      <rPr>
        <sz val="11"/>
        <color rgb="FF000000"/>
        <rFont val="Quattrocento Sans"/>
      </rPr>
      <t xml:space="preserve">- Outras massas alimentícias do tipo </t>
    </r>
    <r>
      <rPr>
        <b/>
        <sz val="11"/>
        <color rgb="FF000000"/>
        <rFont val="Quattrocento Sans"/>
      </rPr>
      <t>comum</t>
    </r>
    <r>
      <rPr>
        <sz val="11"/>
        <color rgb="FF000000"/>
        <rFont val="Quattrocento Sans"/>
      </rPr>
      <t>, não cozidas, nem recheadas, nem preparadas de outro modo, que não contenham ovos, derivadas de farinha de trigo
- Massas alimentícias do tipo</t>
    </r>
    <r>
      <rPr>
        <b/>
        <sz val="11"/>
        <color rgb="FF000000"/>
        <rFont val="Quattrocento Sans"/>
      </rPr>
      <t xml:space="preserve"> comum</t>
    </r>
    <r>
      <rPr>
        <sz val="11"/>
        <color rgb="FF000000"/>
        <rFont val="Quattrocento Sans"/>
      </rPr>
      <t>, não cozidas, nem recheadas, nem preparadas de outro modo, que não contenham ovos,  derivadas de farinha de trigo</t>
    </r>
  </si>
  <si>
    <t>Massas frescas refrigeradas (para pastel, lasanha, folhadas e semelhantes)</t>
  </si>
  <si>
    <t>Demais massas do tipo comum</t>
  </si>
  <si>
    <t>17.049.04
17.049.07</t>
  </si>
  <si>
    <r>
      <rPr>
        <sz val="11"/>
        <color rgb="FF000000"/>
        <rFont val="Quattrocento Sans"/>
      </rPr>
      <t xml:space="preserve">- Outras massas alimentícias do tipo </t>
    </r>
    <r>
      <rPr>
        <b/>
        <sz val="11"/>
        <color rgb="FF000000"/>
        <rFont val="Quattrocento Sans"/>
      </rPr>
      <t xml:space="preserve">sêmola, </t>
    </r>
    <r>
      <rPr>
        <sz val="11"/>
        <color rgb="FF000000"/>
        <rFont val="Quattrocento Sans"/>
      </rPr>
      <t xml:space="preserve">não cozidas, nem recheadas, nem preparadas de outro modo, que não contenham ovos, derivadas do trigo
- Massas alimentícias do tipo </t>
    </r>
    <r>
      <rPr>
        <b/>
        <sz val="11"/>
        <color rgb="FF000000"/>
        <rFont val="Quattrocento Sans"/>
      </rPr>
      <t>sêmola</t>
    </r>
    <r>
      <rPr>
        <sz val="11"/>
        <color rgb="FF000000"/>
        <rFont val="Quattrocento Sans"/>
      </rPr>
      <t>, não cozidas, nem recheadas, nem preparadas de outro modo, que não contenham ovos, derivadas do trigo</t>
    </r>
  </si>
  <si>
    <t>Massas alimentícias do tipo sêmola</t>
  </si>
  <si>
    <t>Pães industrializados, inclusive de especiarias, 
exceto panetones e bolo de forma</t>
  </si>
  <si>
    <t>Pão de alho</t>
  </si>
  <si>
    <t>Pão de mel</t>
  </si>
  <si>
    <t>Demais pães de especiarias</t>
  </si>
  <si>
    <t>Panetone Tradicional</t>
  </si>
  <si>
    <t>Panetone com Recheio ou com Cobertura</t>
  </si>
  <si>
    <t>Colomba</t>
  </si>
  <si>
    <t>Panetone Salgado</t>
  </si>
  <si>
    <t>Demais panetones</t>
  </si>
  <si>
    <t>17.053.00
17.056.02</t>
  </si>
  <si>
    <t>1905.31.00
1905.90.20</t>
  </si>
  <si>
    <t>- Biscoitos e bolachas derivados de farinha de trigo; (exceto dos tipos “cream cracker”, “água e sal”, “maisena”, “maria” e outros de consumo popular que não sejam adicionados de cacau, nem recheados, cobertos ou amanteigados, independentemente de sua denominação comercial);
- Outras bolachas, exceto casquinhas para sorvete e os biscoitos e bolachas relacionados nos CEST 17.056.00 e 17.056.01</t>
  </si>
  <si>
    <r>
      <rPr>
        <sz val="11"/>
        <color rgb="FF000000"/>
        <rFont val="Quattrocento Sans"/>
      </rPr>
      <t xml:space="preserve">Biscoito Salgado tipo Salt 
(embalagem </t>
    </r>
    <r>
      <rPr>
        <b/>
        <sz val="11"/>
        <color rgb="FF000000"/>
        <rFont val="Quattrocento Sans"/>
      </rPr>
      <t xml:space="preserve">inferior </t>
    </r>
    <r>
      <rPr>
        <sz val="11"/>
        <color rgb="FF000000"/>
        <rFont val="Quattrocento Sans"/>
      </rPr>
      <t>a 300g)</t>
    </r>
  </si>
  <si>
    <r>
      <rPr>
        <sz val="11"/>
        <color rgb="FF000000"/>
        <rFont val="Quattrocento Sans"/>
      </rPr>
      <t xml:space="preserve">Biscoito Salgado tipo Salt 
(embalagem </t>
    </r>
    <r>
      <rPr>
        <b/>
        <sz val="11"/>
        <color rgb="FF000000"/>
        <rFont val="Quattrocento Sans"/>
      </rPr>
      <t xml:space="preserve">maior ou igual </t>
    </r>
    <r>
      <rPr>
        <sz val="11"/>
        <color rgb="FF000000"/>
        <rFont val="Quattrocento Sans"/>
      </rPr>
      <t>300g)</t>
    </r>
  </si>
  <si>
    <r>
      <rPr>
        <sz val="11"/>
        <color rgb="FF000000"/>
        <rFont val="Quattrocento Sans"/>
      </rPr>
      <t xml:space="preserve">Biscoito Salgado tipo Salt Integral 
(embalagem </t>
    </r>
    <r>
      <rPr>
        <b/>
        <sz val="11"/>
        <color rgb="FF000000"/>
        <rFont val="Quattrocento Sans"/>
      </rPr>
      <t>inferior</t>
    </r>
    <r>
      <rPr>
        <sz val="11"/>
        <color rgb="FF000000"/>
        <rFont val="Quattrocento Sans"/>
      </rPr>
      <t xml:space="preserve"> a 300g)</t>
    </r>
  </si>
  <si>
    <r>
      <rPr>
        <sz val="11"/>
        <color rgb="FF000000"/>
        <rFont val="Quattrocento Sans"/>
      </rPr>
      <t xml:space="preserve">Biscoito Salgado tipo Salt Integral 
(embalagem </t>
    </r>
    <r>
      <rPr>
        <b/>
        <sz val="11"/>
        <color rgb="FF000000"/>
        <rFont val="Quattrocento Sans"/>
      </rPr>
      <t xml:space="preserve">maior ou igual </t>
    </r>
    <r>
      <rPr>
        <sz val="11"/>
        <color rgb="FF000000"/>
        <rFont val="Quattrocento Sans"/>
      </rPr>
      <t>300g)</t>
    </r>
  </si>
  <si>
    <t>Biscoito Salgado tipo Salt Recheado</t>
  </si>
  <si>
    <t>Biscoito Salgado tipo Snacks</t>
  </si>
  <si>
    <t>Biscoito Salgado Integral ou com Cereais ou Light</t>
  </si>
  <si>
    <t>Outros biscoitos salgados</t>
  </si>
  <si>
    <t>Biscoito Doce Amanteigado</t>
  </si>
  <si>
    <t>Biscoito Doce Maria, Maizena ou Rosquinha - 
Todos Com Cacau</t>
  </si>
  <si>
    <t>Biscoito Doce tipo Cookies</t>
  </si>
  <si>
    <t>Biscoito Doce Integral ou com Cereais ou Light</t>
  </si>
  <si>
    <t>Biscoito Doce com Recheio</t>
  </si>
  <si>
    <t>Biscoito Doce do tipo Tortinha</t>
  </si>
  <si>
    <t>Biscoito Doce com Cobertura</t>
  </si>
  <si>
    <t>Biscoito Doce tipo Cristal</t>
  </si>
  <si>
    <t>Biscoito Doce com Cacau</t>
  </si>
  <si>
    <t>Biscoito Doce tipo Champanhe</t>
  </si>
  <si>
    <t>Outros biscoitos doces</t>
  </si>
  <si>
    <t>Biscoito Doce Maria, Maizena ou Rosquinha</t>
  </si>
  <si>
    <t>Biscoito Doce Maria, Maizena ou Rosquinha - Integral</t>
  </si>
  <si>
    <t>Biscoito Doce Maria, Maizena ou Rosquinha - Sabor Leite</t>
  </si>
  <si>
    <t>Biscoito do tipo Tareco</t>
  </si>
  <si>
    <t>Biscoito Folhado</t>
  </si>
  <si>
    <t>Biscoito Doce sem Recheio</t>
  </si>
  <si>
    <t>Biscoito Doce Leite ou Sabor Leite</t>
  </si>
  <si>
    <t>Biscoito Doce tipo Sequilho</t>
  </si>
  <si>
    <t>Biscoitos Sortidos</t>
  </si>
  <si>
    <t>Outros biscoitos ou bolachas de consumo popular</t>
  </si>
  <si>
    <t>17.053.02
17.056.00</t>
  </si>
  <si>
    <r>
      <rPr>
        <sz val="11"/>
        <color rgb="FF000000"/>
        <rFont val="Quattrocento Sans"/>
      </rPr>
      <t xml:space="preserve">- Biscoitos e bolachas derivados de farinha de trigo dos tipos "cream cracker" e "água e sal" </t>
    </r>
    <r>
      <rPr>
        <b/>
        <sz val="11"/>
        <color rgb="FF000000"/>
        <rFont val="Arial"/>
      </rPr>
      <t xml:space="preserve">de consumo popular
</t>
    </r>
    <r>
      <rPr>
        <sz val="11"/>
        <color rgb="FF000000"/>
        <rFont val="Quattrocento Sans"/>
      </rPr>
      <t>- Biscoitos e bolachas derivados de farinha de trigo dos tipos “cream cracker” e “água e sal”</t>
    </r>
  </si>
  <si>
    <t>Cream Cracker (inclusive Cracker Mini e Petit)</t>
  </si>
  <si>
    <t>Cream Cracker Integral</t>
  </si>
  <si>
    <t>Cream Cracker Amanteigado ou Sabor Manteiga</t>
  </si>
  <si>
    <t>Cream Cracker Aperitivos</t>
  </si>
  <si>
    <t>Biscoito Salgado Cracker do tipo Salpet</t>
  </si>
  <si>
    <t>Água e Sal</t>
  </si>
  <si>
    <t>Água e Sal Integral ou com Cereais</t>
  </si>
  <si>
    <t>Torrada</t>
  </si>
  <si>
    <t>Torrada tipo Snack</t>
  </si>
  <si>
    <t>Pão de Forma Tradicional</t>
  </si>
  <si>
    <t>Pão de Forma Integral ou Com Grãos</t>
  </si>
  <si>
    <t>Pão de hambúrguer ou hot dog não congelado</t>
  </si>
  <si>
    <t>Pão de hambúrguer ou hot dog congelado</t>
  </si>
  <si>
    <t>Outros pães</t>
  </si>
  <si>
    <t>Outros bolos industrializados</t>
  </si>
  <si>
    <t>Pizza</t>
  </si>
  <si>
    <t>Farinha de rosca</t>
  </si>
  <si>
    <t>Demais produtos de panificação não especificados</t>
  </si>
  <si>
    <t>1905.90.20 1905.90.90</t>
  </si>
  <si>
    <t>Pão do tipo Tortilha</t>
  </si>
  <si>
    <t>PMPF (PAUTA)</t>
  </si>
  <si>
    <t>ANEXO X – SEGMENTO: FARINHA DE TRIGO</t>
  </si>
  <si>
    <t xml:space="preserve">ALIQUOTA </t>
  </si>
  <si>
    <t>ANEXO X – DERIVADOS DE TRIGO (TABELA XIII DA PARTE I DO ANEXO X DO DECRETO 21.866/23</t>
  </si>
  <si>
    <t>Protocolo 53/17; arts. 69 e 70 do Anexo X do Decreto 21.866/23 e Ato Cotepe 52/23</t>
  </si>
  <si>
    <t>Protocolo 53/17; arts. 69 e 70 do Anexo X do Decreto 21.866/23 e Ato Cotepe 52/24</t>
  </si>
  <si>
    <t>Protocolo 53/17; arts. 69 e 70 do Anexo X do Decreto 21.866/23 e Ato Cotepe 52/25</t>
  </si>
  <si>
    <t>Protocolo 53/17; arts. 69 e 70 do Anexo X do Decreto 21.866/23 e Ato Cotepe 52/26</t>
  </si>
  <si>
    <t>Protocolo 53/17; arts. 69 e 70 do Anexo X do Decreto 21.866/23 e Ato Cotepe 52/27</t>
  </si>
  <si>
    <t>Protocolo 53/17; arts. 69 e 70 do Anexo X do Decreto 21.866/23 e Ato Cotepe 52/28</t>
  </si>
  <si>
    <t>Protocolo 53/17; arts. 69 e 70 do Anexo X do Decreto 21.866/23 e Ato Cotepe 52/29</t>
  </si>
  <si>
    <t>Protocolo 53/17; arts. 69 e 70 do Anexo X do Decreto 21.866/23 e Ato Cotepe 52/30</t>
  </si>
  <si>
    <t>Protocolo 53/17; arts. 69 e 70 do Anexo X do Decreto 21.866/23 e Ato Cotepe 52/31</t>
  </si>
  <si>
    <t>Protocolo 53/17; arts. 69 e 70 do Anexo X do Decreto 21.866/23 e Ato Cotepe 52/32</t>
  </si>
  <si>
    <t>Protocolo 53/17; arts. 69 e 70 do Anexo X do Decreto 21.866/23 e Ato Cotepe 52/33</t>
  </si>
  <si>
    <t>Protocolo 53/17; arts. 69 e 70 do Anexo X do Decreto 21.866/23 e Ato Cotepe 52/34</t>
  </si>
  <si>
    <t>Protocolo 53/17; arts. 69 e 70 do Anexo X do Decreto 21.866/23 e Ato Cotepe 52/35</t>
  </si>
  <si>
    <t>Protocolo 53/17; arts. 69 e 70 do Anexo X do Decreto 21.866/23 e Ato Cotepe 52/36</t>
  </si>
  <si>
    <t>Protocolo 53/17; arts. 69 e 70 do Anexo X do Decreto 21.866/23 e Ato Cotepe 52/37</t>
  </si>
  <si>
    <t>Protocolo 53/17; arts. 69 e 70 do Anexo X do Decreto 21.866/23 e Ato Cotepe 52/38</t>
  </si>
  <si>
    <t>Protocolo 53/17; arts. 69 e 70 do Anexo X do Decreto 21.866/23 e Ato Cotepe 52/39</t>
  </si>
  <si>
    <t>Protocolo 53/17; arts. 69 e 70 do Anexo X do Decreto 21.866/23 e Ato Cotepe 52/40</t>
  </si>
  <si>
    <t>Protocolo 53/17; arts. 69 e 70 do Anexo X do Decreto 21.866/23 e Ato Cotepe 52/41</t>
  </si>
  <si>
    <t>Protocolo 53/17; arts. 69 e 70 do Anexo X do Decreto 21.866/23 e Ato Cotepe 52/42</t>
  </si>
  <si>
    <t>Protocolo 53/17; arts. 69 e 70 do Anexo X do Decreto 21.866/23 e Ato Cotepe 52/43</t>
  </si>
  <si>
    <t>Protocolo 53/17; arts. 69 e 70 do Anexo X do Decreto 21.866/23 e Ato Cotepe 52/44</t>
  </si>
  <si>
    <t>Protocolo 53/17; arts. 69 e 70 do Anexo X do Decreto 21.866/23 e Ato Cotepe 52/45</t>
  </si>
  <si>
    <t>Protocolo 53/17; arts. 69 e 70 do Anexo X do Decreto 21.866/23 e Ato Cotepe 52/46</t>
  </si>
  <si>
    <t>Protocolo 53/17; arts. 69 e 70 do Anexo X do Decreto 21.866/23 e Ato Cotepe 52/47</t>
  </si>
  <si>
    <t>Protocolo 53/17; arts. 69 e 70 do Anexo X do Decreto 21.866/23 e Ato Cotepe 52/48</t>
  </si>
  <si>
    <t>Protocolo 53/17; arts. 69 e 70 do Anexo X do Decreto 21.866/23 e Ato Cotepe 52/49</t>
  </si>
  <si>
    <t>Protocolo 53/17; arts. 69 e 70 do Anexo X do Decreto 21.866/23 e Ato Cotepe 52/50</t>
  </si>
  <si>
    <t>Protocolo 53/17; arts. 69 e 70 do Anexo X do Decreto 21.866/23 e Ato Cotepe 52/51</t>
  </si>
  <si>
    <t>Protocolo 53/17; arts. 69 e 70 do Anexo X do Decreto 21.866/23 e Ato Cotepe 52/52</t>
  </si>
  <si>
    <t>Protocolo 53/17; arts. 69 e 70 do Anexo X do Decreto 21.866/23 e Ato Cotepe 52/53</t>
  </si>
  <si>
    <t>Protocolo 53/17; arts. 69 e 70 do Anexo X do Decreto 21.866/23 e Ato Cotepe 52/54</t>
  </si>
  <si>
    <t>Protocolo 53/17; arts. 69 e 70 do Anexo X do Decreto 21.866/23 e Ato Cotepe 52/55</t>
  </si>
  <si>
    <t>Protocolo 53/17; arts. 69 e 70 do Anexo X do Decreto 21.866/23 e Ato Cotepe 52/56</t>
  </si>
  <si>
    <t>Protocolo 53/17; arts. 69 e 70 do Anexo X do Decreto 21.866/23 e Ato Cotepe 52/57</t>
  </si>
  <si>
    <t>Protocolo 53/17; arts. 69 e 70 do Anexo X do Decreto 21.866/23 e Ato Cotepe 52/58</t>
  </si>
  <si>
    <t>Protocolo 53/17; arts. 69 e 70 do Anexo X do Decreto 21.866/23 e Ato Cotepe 52/59</t>
  </si>
  <si>
    <t>Protocolo 53/17; arts. 69 e 70 do Anexo X do Decreto 21.866/23 e Ato Cotepe 52/60</t>
  </si>
  <si>
    <t>Protocolo 53/17; arts. 69 e 70 do Anexo X do Decreto 21.866/23 e Ato Cotepe 52/61</t>
  </si>
  <si>
    <t>Protocolo 53/17; arts. 69 e 70 do Anexo X do Decreto 21.866/23 e Ato Cotepe 52/62</t>
  </si>
  <si>
    <t>Protocolo 53/17; arts. 69 e 70 do Anexo X do Decreto 21.866/23 e Ato Cotepe 52/63</t>
  </si>
  <si>
    <t>Protocolo 53/17; arts. 69 e 70 do Anexo X do Decreto 21.866/23 e Ato Cotepe 52/64</t>
  </si>
  <si>
    <t>Protocolo 53/17; arts. 69 e 70 do Anexo X do Decreto 21.866/23 e Ato Cotepe 52/65</t>
  </si>
  <si>
    <t>Protocolo 53/17; arts. 69 e 70 do Anexo X do Decreto 21.866/23 e Ato Cotepe 52/66</t>
  </si>
  <si>
    <t>Protocolo 53/17; arts. 69 e 70 do Anexo X do Decreto 21.866/23 e Ato Cotepe 52/67</t>
  </si>
  <si>
    <t>Protocolo 53/17; arts. 69 e 70 do Anexo X do Decreto 21.866/23 e Ato Cotepe 52/68</t>
  </si>
  <si>
    <t>Protocolo 53/17; arts. 69 e 70 do Anexo X do Decreto 21.866/23 e Ato Cotepe 52/69</t>
  </si>
  <si>
    <t>Protocolo 53/17; arts. 69 e 70 do Anexo X do Decreto 21.866/23 e Ato Cotepe 52/70</t>
  </si>
  <si>
    <t>Protocolo 53/17; arts. 69 e 70 do Anexo X do Decreto 21.866/23 e Ato Cotepe 52/71</t>
  </si>
  <si>
    <t>Protocolo 53/17; arts. 69 e 70 do Anexo X do Decreto 21.866/23 e Ato Cotepe 52/72</t>
  </si>
  <si>
    <t>Protocolo 53/17; arts. 69 e 70 do Anexo X do Decreto 21.866/23 e Ato Cotepe 52/73</t>
  </si>
  <si>
    <t>Protocolo 53/17; arts. 69 e 70 do Anexo X do Decreto 21.866/23 e Ato Cotepe 52/74</t>
  </si>
  <si>
    <t>Protocolo 53/17; arts. 69 e 70 do Anexo X do Decreto 21.866/23 e Ato Cotepe 52/75</t>
  </si>
  <si>
    <t>Protocolo 53/17; arts. 69 e 70 do Anexo X do Decreto 21.866/23 e Ato Cotepe 52/76</t>
  </si>
  <si>
    <t>Protocolo 53/17; arts. 69 e 70 do Anexo X do Decreto 21.866/23 e Ato Cotepe 52/77</t>
  </si>
  <si>
    <t>Protocolo 53/17; arts. 69 e 70 do Anexo X do Decreto 21.866/23 e Ato Cotepe 52/78</t>
  </si>
  <si>
    <t>Protocolo 53/17; arts. 69 e 70 do Anexo X do Decreto 21.866/23 e Ato Cotepe 52/79</t>
  </si>
  <si>
    <t>Protocolo 53/17; arts. 69 e 70 do Anexo X do Decreto 21.866/23 e Ato Cotepe 52/80</t>
  </si>
  <si>
    <t>Protocolo 53/17; arts. 69 e 70 do Anexo X do Decreto 21.866/23 e Ato Cotepe 52/81</t>
  </si>
  <si>
    <t>Protocolo 53/17; arts. 69 e 70 do Anexo X do Decreto 21.866/23 e Ato Cotepe 52/82</t>
  </si>
  <si>
    <t>Protocolo 53/17; arts. 69 e 70 do Anexo X do Decreto 21.866/23 e Ato Cotepe 52/83</t>
  </si>
  <si>
    <t>Protocolo 53/17; arts. 69 e 70 do Anexo X do Decreto 21.866/23 e Ato Cotepe 52/84</t>
  </si>
  <si>
    <t>Protocolo 53/17; arts. 69 e 70 do Anexo X do Decreto 21.866/23 e Ato Cotepe 52/85</t>
  </si>
  <si>
    <t>Protocolo 53/17; arts. 69 e 70 do Anexo X do Decreto 21.866/23 e Ato Cotepe 52/86</t>
  </si>
  <si>
    <t>Protocolo 53/17; arts. 69 e 70 do Anexo X do Decreto 21.866/23 e Ato Cotepe 52/87</t>
  </si>
  <si>
    <t>Protocolo 53/17; arts. 69 e 70 do Anexo X do Decreto 21.866/23 e Ato Cotepe 52/88</t>
  </si>
  <si>
    <t>Protocolo 53/17; arts. 69 e 70 do Anexo X do Decreto 21.866/23 e Ato Cotepe 52/89</t>
  </si>
  <si>
    <t>Protocolo 53/17; arts. 69 e 70 do Anexo X do Decreto 21.866/23 e Ato Cotepe 52/90</t>
  </si>
  <si>
    <t>Protocolo 53/17; arts. 69 e 70 do Anexo X do Decreto 21.866/23 e Ato Cotepe 52/91</t>
  </si>
  <si>
    <t>Protocolo 53/17; arts. 69 e 70 do Anexo X do Decreto 21.866/23 e Ato Cotepe 52/92</t>
  </si>
  <si>
    <t>Protocolo 53/17; arts. 69 e 70 do Anexo X do Decreto 21.866/23 e Ato Cotepe 52/93</t>
  </si>
  <si>
    <t>Protocolo 53/17; arts. 69 e 70 do Anexo X do Decreto 21.866/23 e Ato Cotepe 52/94</t>
  </si>
  <si>
    <t>Protocolo 53/17; arts. 69 e 70 do Anexo X do Decreto 21.866/23 e Ato Cotepe 52/95</t>
  </si>
  <si>
    <t xml:space="preserve">OBS: Produtos com o Cest 17.031.01 não são sujeitos a ST no Piauí confrome parágrafo único da cláusula primeira do Protocolo 53/17 . </t>
  </si>
  <si>
    <t>ANEXO X – SEGMENTO: BEBIDAS ALCOÓLICAS, EXCETO CERVEJA E CHOPE</t>
  </si>
  <si>
    <t>ANEXO X – SEGMENTO: CIGARROS E OUTROS PRODUTOS DERIVADOS DO FUMO</t>
  </si>
  <si>
    <t>ANEXO X– SEGMENTO: CIMENTOS</t>
  </si>
  <si>
    <t>ANEXO X– SEGMENTO: MEDICAMENTOS DE USO HUMANO E OUTROS PRODUTOS FARMACÊUTICOS PARA USO HUMANO OU VETERINÁRIO</t>
  </si>
  <si>
    <t>ANEXO X – SEGMENTO: PNEUMÁTICOS, CÂMARAS DE AR E PROTETORES DE BORRACHA</t>
  </si>
  <si>
    <t>ANEXO X – SEGMENTO: RAÇÕES PARA ANIMAIS DOMÉSTICOS</t>
  </si>
  <si>
    <t>ANEXO X – SEGMENTO: TINTAS E VERNIZES</t>
  </si>
  <si>
    <t>ANEXO X – SEGMENTO: VEÍCULOS AUTOMOTORES</t>
  </si>
  <si>
    <r>
      <t>Observação:
I.</t>
    </r>
    <r>
      <rPr>
        <sz val="10"/>
        <color rgb="FF000000"/>
        <rFont val="Arial"/>
        <family val="2"/>
      </rPr>
      <t xml:space="preserve"> Há redução na base de cálculo de forma que a carga tributária fica em 12%, conforme Anexo IV, art. 178 do RICMS - DECRETO 21.866/2023 (Conv. 195/2017). </t>
    </r>
    <r>
      <rPr>
        <b/>
        <sz val="10"/>
        <color rgb="FF000000"/>
        <rFont val="Arial"/>
        <family val="2"/>
      </rPr>
      <t>O  destinatário deve ter Termo de Acordo assinado na SEFAZ PI para usar a redução</t>
    </r>
    <r>
      <rPr>
        <sz val="10"/>
        <color rgb="FF000000"/>
        <rFont val="Arial"/>
        <family val="2"/>
      </rPr>
      <t xml:space="preserve"> (Parágrafo 16 do Inciso XIV do art. 78 do anexo IV do Decreto 21.866/2023.</t>
    </r>
    <r>
      <rPr>
        <b/>
        <sz val="10"/>
        <color rgb="FF000000"/>
        <rFont val="Arial"/>
        <family val="2"/>
      </rPr>
      <t xml:space="preserve">                                       </t>
    </r>
  </si>
  <si>
    <t>ANEXO X – SEGMENTO: VEÍCULOS DE DUAS E TRÊS RODAS MOTORIZADOS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</si>
</sst>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R$ &quot;* #,##0.00_);_(&quot;R$ &quot;* \(#,##0.00\);_(&quot;R$ &quot;* &quot;-&quot;??_);_(@_)"/>
    <numFmt numFmtId="165" formatCode="d\.m"/>
    <numFmt numFmtId="166" formatCode="[$R$ -416]#,##0.00"/>
  </numFmts>
  <fonts count="6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8"/>
      <color rgb="FF000000"/>
      <name val="Arial"/>
      <family val="2"/>
    </font>
    <font>
      <b/>
      <i/>
      <sz val="11"/>
      <color theme="1"/>
      <name val="Calibri"/>
      <family val="2"/>
      <scheme val="minor"/>
    </font>
    <font>
      <sz val="8"/>
      <color rgb="FF00B050"/>
      <name val="Arial"/>
      <family val="2"/>
    </font>
    <font>
      <sz val="10"/>
      <color rgb="FF00B050"/>
      <name val="Arial"/>
      <family val="2"/>
    </font>
    <font>
      <sz val="8"/>
      <color rgb="FF0070C0"/>
      <name val="Arial"/>
      <family val="2"/>
    </font>
    <font>
      <sz val="10"/>
      <color rgb="FF0070C0"/>
      <name val="Arial"/>
      <family val="2"/>
    </font>
    <font>
      <sz val="11"/>
      <name val="Calibri"/>
      <family val="2"/>
      <scheme val="minor"/>
    </font>
    <font>
      <b/>
      <i/>
      <vertAlign val="superscript"/>
      <sz val="11"/>
      <color rgb="FFFF0000"/>
      <name val="Calibri"/>
      <family val="2"/>
      <scheme val="minor"/>
    </font>
    <font>
      <b/>
      <i/>
      <vertAlign val="superscript"/>
      <sz val="10"/>
      <color rgb="FFFF0000"/>
      <name val="Arial"/>
      <family val="2"/>
    </font>
    <font>
      <sz val="8"/>
      <name val="Arial"/>
      <family val="2"/>
    </font>
    <font>
      <i/>
      <vertAlign val="superscript"/>
      <sz val="10"/>
      <color rgb="FFFF0000"/>
      <name val="Arial"/>
      <family val="2"/>
    </font>
    <font>
      <b/>
      <i/>
      <sz val="10"/>
      <color rgb="FF000000"/>
      <name val="Arial"/>
      <family val="2"/>
    </font>
    <font>
      <sz val="9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9"/>
      <color rgb="FF000000"/>
      <name val="Arial"/>
      <family val="2"/>
    </font>
    <font>
      <b/>
      <i/>
      <sz val="11"/>
      <name val="Calibri"/>
      <family val="2"/>
      <scheme val="minor"/>
    </font>
    <font>
      <b/>
      <u/>
      <sz val="10"/>
      <name val="Arial"/>
      <family val="2"/>
    </font>
    <font>
      <sz val="8"/>
      <name val="Calibri"/>
      <family val="2"/>
      <scheme val="minor"/>
    </font>
    <font>
      <sz val="12"/>
      <color theme="1"/>
      <name val="Quattrocento Sans"/>
    </font>
    <font>
      <sz val="12"/>
      <color rgb="FF000000"/>
      <name val="Quattrocento Sans"/>
    </font>
    <font>
      <u/>
      <sz val="12"/>
      <color rgb="FF0000FF"/>
      <name val="Quattrocento Sans"/>
    </font>
    <font>
      <b/>
      <sz val="11"/>
      <color rgb="FF00B0F0"/>
      <name val="Calibri"/>
      <family val="2"/>
      <scheme val="minor"/>
    </font>
    <font>
      <sz val="10"/>
      <color rgb="FF000000"/>
      <name val="Quattrocento Sans"/>
    </font>
    <font>
      <sz val="10"/>
      <color theme="1"/>
      <name val="Quattrocento Sans"/>
    </font>
    <font>
      <u/>
      <sz val="10"/>
      <color theme="1"/>
      <name val="Segoe UI Historic"/>
      <family val="2"/>
    </font>
    <font>
      <sz val="10"/>
      <color theme="1"/>
      <name val="Segoe UI Historic"/>
      <family val="2"/>
    </font>
    <font>
      <i/>
      <sz val="12"/>
      <color theme="1"/>
      <name val="Segoe UI Historic"/>
      <family val="2"/>
    </font>
    <font>
      <i/>
      <sz val="10"/>
      <color theme="1"/>
      <name val="Segoe UI Historic"/>
      <family val="2"/>
    </font>
    <font>
      <b/>
      <sz val="12"/>
      <color rgb="FF000000"/>
      <name val="Segoe UI Historic"/>
      <family val="2"/>
    </font>
    <font>
      <sz val="12"/>
      <color rgb="FF000000"/>
      <name val="Segoe UI Historic"/>
      <family val="2"/>
    </font>
    <font>
      <sz val="12"/>
      <color rgb="FFFF0000"/>
      <name val="Quattrocento Sans"/>
    </font>
    <font>
      <sz val="10"/>
      <color rgb="FF000000"/>
      <name val="Calibri"/>
      <family val="2"/>
      <scheme val="minor"/>
    </font>
    <font>
      <b/>
      <sz val="12"/>
      <color theme="1"/>
      <name val="Segoe UI Historic"/>
      <family val="2"/>
    </font>
    <font>
      <sz val="12"/>
      <color theme="1"/>
      <name val="Segoe UI Historic"/>
      <family val="2"/>
    </font>
    <font>
      <i/>
      <sz val="12"/>
      <color theme="1"/>
      <name val="Quattrocento Sans"/>
    </font>
    <font>
      <b/>
      <sz val="12"/>
      <color theme="1"/>
      <name val="Quattrocento Sans"/>
    </font>
    <font>
      <sz val="11"/>
      <color rgb="FF000000"/>
      <name val="Quattrocento Sans"/>
    </font>
    <font>
      <b/>
      <sz val="11"/>
      <color rgb="FF000000"/>
      <name val="Segoe UI Historic"/>
    </font>
    <font>
      <sz val="11"/>
      <color theme="1"/>
      <name val="Quattrocento Sans"/>
    </font>
    <font>
      <b/>
      <sz val="11"/>
      <color theme="1"/>
      <name val="Segoe UI Historic"/>
    </font>
    <font>
      <sz val="11"/>
      <name val="Quattrocento Sans"/>
    </font>
    <font>
      <b/>
      <sz val="8"/>
      <name val="Arial"/>
      <family val="2"/>
    </font>
    <font>
      <sz val="12"/>
      <color rgb="FF000000"/>
      <name val="Arial"/>
      <family val="2"/>
    </font>
    <font>
      <sz val="12"/>
      <color theme="1"/>
      <name val="Calibri"/>
      <family val="2"/>
      <scheme val="minor"/>
    </font>
    <font>
      <b/>
      <sz val="16"/>
      <color theme="1"/>
      <name val="Quattrocento Sans"/>
    </font>
    <font>
      <b/>
      <sz val="14"/>
      <color theme="1"/>
      <name val="Quattrocento Sans"/>
    </font>
    <font>
      <sz val="10"/>
      <color rgb="FFFF0000"/>
      <name val="Quattrocento Sans"/>
    </font>
    <font>
      <i/>
      <sz val="11"/>
      <color rgb="FFFF0000"/>
      <name val="Quattrocento Sans"/>
    </font>
    <font>
      <b/>
      <i/>
      <sz val="11"/>
      <color rgb="FFFF0000"/>
      <name val="Segoe UI Historic"/>
      <family val="2"/>
    </font>
    <font>
      <i/>
      <sz val="11"/>
      <color rgb="FFFF0000"/>
      <name val="Segoe UI Historic"/>
      <family val="2"/>
    </font>
    <font>
      <b/>
      <sz val="12"/>
      <color rgb="FF000000"/>
      <name val="Quattrocento Sans"/>
    </font>
    <font>
      <b/>
      <sz val="11"/>
      <color rgb="FF000000"/>
      <name val="Quattrocento Sans"/>
    </font>
    <font>
      <b/>
      <sz val="10"/>
      <color rgb="FF000000"/>
      <name val="Quattrocento Sans"/>
    </font>
    <font>
      <sz val="10"/>
      <name val="Arial"/>
    </font>
    <font>
      <sz val="10"/>
      <color rgb="FF000000"/>
      <name val="Calibri"/>
      <scheme val="minor"/>
    </font>
    <font>
      <i/>
      <sz val="12"/>
      <color rgb="FFFF0000"/>
      <name val="Quattrocento Sans"/>
    </font>
    <font>
      <sz val="10"/>
      <color rgb="FFFF0000"/>
      <name val="Calibri"/>
      <scheme val="minor"/>
    </font>
    <font>
      <sz val="10"/>
      <color rgb="FF000000"/>
      <name val="Open_sansregular"/>
    </font>
    <font>
      <b/>
      <sz val="11"/>
      <color rgb="FF000000"/>
      <name val="Arial"/>
    </font>
    <font>
      <b/>
      <sz val="12"/>
      <color theme="1"/>
      <name val="Arial"/>
      <family val="2"/>
    </font>
    <font>
      <sz val="12"/>
      <name val="Arial"/>
      <family val="2"/>
    </font>
    <font>
      <b/>
      <sz val="12"/>
      <color rgb="FF000000"/>
      <name val="Arial"/>
      <family val="2"/>
    </font>
    <font>
      <b/>
      <sz val="13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2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1" fillId="0" borderId="0"/>
    <xf numFmtId="0" fontId="18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8" fillId="0" borderId="0" applyFont="0" applyFill="0" applyBorder="0" applyAlignment="0" applyProtection="0"/>
  </cellStyleXfs>
  <cellXfs count="307">
    <xf numFmtId="0" fontId="0" fillId="0" borderId="0" xfId="0"/>
    <xf numFmtId="0" fontId="5" fillId="0" borderId="1" xfId="0" applyFont="1" applyBorder="1" applyAlignment="1">
      <alignment horizontal="center" vertical="center" wrapText="1"/>
    </xf>
    <xf numFmtId="9" fontId="5" fillId="0" borderId="1" xfId="0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/>
    <xf numFmtId="0" fontId="7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43" fontId="10" fillId="0" borderId="1" xfId="1" applyFont="1" applyBorder="1" applyAlignment="1">
      <alignment horizontal="center" vertical="center" wrapText="1"/>
    </xf>
    <xf numFmtId="43" fontId="3" fillId="0" borderId="1" xfId="1" applyFont="1" applyBorder="1" applyAlignment="1">
      <alignment horizontal="center" vertical="center" wrapText="1"/>
    </xf>
    <xf numFmtId="43" fontId="8" fillId="0" borderId="1" xfId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10" fontId="5" fillId="0" borderId="1" xfId="0" applyNumberFormat="1" applyFont="1" applyBorder="1" applyAlignment="1">
      <alignment horizontal="center" vertical="center" wrapText="1"/>
    </xf>
    <xf numFmtId="43" fontId="4" fillId="0" borderId="2" xfId="1" applyFont="1" applyBorder="1" applyAlignment="1">
      <alignment horizontal="center" vertical="center" wrapText="1"/>
    </xf>
    <xf numFmtId="49" fontId="2" fillId="0" borderId="0" xfId="0" applyNumberFormat="1" applyFont="1" applyAlignment="1">
      <alignment vertical="center" wrapText="1"/>
    </xf>
    <xf numFmtId="49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4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16" fontId="5" fillId="0" borderId="1" xfId="0" applyNumberFormat="1" applyFont="1" applyBorder="1" applyAlignment="1">
      <alignment horizontal="center" vertical="center" wrapText="1"/>
    </xf>
    <xf numFmtId="10" fontId="5" fillId="0" borderId="1" xfId="2" applyNumberFormat="1" applyFont="1" applyBorder="1" applyAlignment="1">
      <alignment horizontal="center" vertical="center" wrapText="1"/>
    </xf>
    <xf numFmtId="0" fontId="17" fillId="0" borderId="0" xfId="0" applyFont="1" applyAlignment="1">
      <alignment vertical="center" wrapText="1"/>
    </xf>
    <xf numFmtId="0" fontId="1" fillId="0" borderId="0" xfId="3"/>
    <xf numFmtId="0" fontId="11" fillId="0" borderId="0" xfId="0" applyFont="1"/>
    <xf numFmtId="10" fontId="14" fillId="0" borderId="1" xfId="0" applyNumberFormat="1" applyFont="1" applyBorder="1" applyAlignment="1">
      <alignment horizontal="center" vertical="center" wrapText="1"/>
    </xf>
    <xf numFmtId="0" fontId="0" fillId="0" borderId="0" xfId="3" applyFont="1"/>
    <xf numFmtId="10" fontId="5" fillId="0" borderId="1" xfId="2" applyNumberFormat="1" applyFont="1" applyFill="1" applyBorder="1" applyAlignment="1">
      <alignment horizontal="center" vertical="center" wrapText="1"/>
    </xf>
    <xf numFmtId="0" fontId="19" fillId="0" borderId="4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9" fontId="4" fillId="0" borderId="2" xfId="2" applyFont="1" applyFill="1" applyBorder="1" applyAlignment="1">
      <alignment horizontal="center" vertical="center" wrapText="1"/>
    </xf>
    <xf numFmtId="0" fontId="19" fillId="0" borderId="2" xfId="3" applyFont="1" applyBorder="1" applyAlignment="1">
      <alignment horizontal="center" vertical="center" wrapText="1"/>
    </xf>
    <xf numFmtId="0" fontId="19" fillId="0" borderId="3" xfId="3" applyFont="1" applyBorder="1" applyAlignment="1">
      <alignment horizontal="center" vertical="center" wrapText="1"/>
    </xf>
    <xf numFmtId="0" fontId="14" fillId="0" borderId="1" xfId="3" applyFont="1" applyBorder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10" fontId="14" fillId="0" borderId="1" xfId="3" applyNumberFormat="1" applyFont="1" applyBorder="1" applyAlignment="1">
      <alignment horizontal="center" vertical="center" wrapText="1"/>
    </xf>
    <xf numFmtId="0" fontId="0" fillId="0" borderId="1" xfId="0" applyBorder="1"/>
    <xf numFmtId="0" fontId="4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left" vertical="center" wrapText="1" indent="1"/>
    </xf>
    <xf numFmtId="0" fontId="4" fillId="0" borderId="8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10" fontId="5" fillId="0" borderId="5" xfId="2" applyNumberFormat="1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4" fillId="0" borderId="7" xfId="3" applyFont="1" applyBorder="1" applyAlignment="1">
      <alignment horizontal="center" vertical="center" wrapText="1"/>
    </xf>
    <xf numFmtId="0" fontId="17" fillId="0" borderId="1" xfId="0" applyFont="1" applyBorder="1" applyAlignment="1">
      <alignment wrapText="1"/>
    </xf>
    <xf numFmtId="0" fontId="17" fillId="0" borderId="1" xfId="0" applyFont="1" applyBorder="1" applyAlignment="1">
      <alignment vertical="center" wrapText="1"/>
    </xf>
    <xf numFmtId="14" fontId="5" fillId="0" borderId="1" xfId="0" applyNumberFormat="1" applyFont="1" applyBorder="1" applyAlignment="1">
      <alignment horizontal="center" vertical="center" wrapText="1"/>
    </xf>
    <xf numFmtId="9" fontId="4" fillId="0" borderId="1" xfId="0" applyNumberFormat="1" applyFont="1" applyBorder="1" applyAlignment="1">
      <alignment horizontal="center" vertical="center" wrapText="1"/>
    </xf>
    <xf numFmtId="0" fontId="19" fillId="0" borderId="4" xfId="3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1" fontId="5" fillId="0" borderId="1" xfId="2" applyNumberFormat="1" applyFont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17" fillId="0" borderId="7" xfId="0" applyFont="1" applyBorder="1" applyAlignment="1">
      <alignment horizontal="center" vertical="center" wrapText="1"/>
    </xf>
    <xf numFmtId="0" fontId="20" fillId="3" borderId="1" xfId="0" applyFont="1" applyFill="1" applyBorder="1" applyAlignment="1">
      <alignment horizontal="center" vertical="top" wrapText="1"/>
    </xf>
    <xf numFmtId="0" fontId="4" fillId="0" borderId="6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5" xfId="0" applyFont="1" applyBorder="1" applyAlignment="1">
      <alignment vertical="center"/>
    </xf>
    <xf numFmtId="0" fontId="5" fillId="0" borderId="1" xfId="0" applyFont="1" applyBorder="1" applyAlignment="1">
      <alignment horizontal="left" vertical="top" wrapText="1"/>
    </xf>
    <xf numFmtId="10" fontId="5" fillId="0" borderId="5" xfId="2" applyNumberFormat="1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21" fillId="0" borderId="0" xfId="0" applyFont="1"/>
    <xf numFmtId="9" fontId="4" fillId="0" borderId="1" xfId="2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center" wrapText="1"/>
    </xf>
    <xf numFmtId="0" fontId="0" fillId="0" borderId="0" xfId="0" applyFill="1"/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24" fillId="0" borderId="14" xfId="0" applyFont="1" applyBorder="1" applyAlignment="1">
      <alignment horizontal="center" vertical="center" wrapText="1"/>
    </xf>
    <xf numFmtId="0" fontId="24" fillId="0" borderId="15" xfId="0" applyFont="1" applyBorder="1" applyAlignment="1">
      <alignment horizontal="center" vertical="center" wrapText="1"/>
    </xf>
    <xf numFmtId="0" fontId="25" fillId="0" borderId="15" xfId="0" applyFont="1" applyBorder="1" applyAlignment="1">
      <alignment horizontal="center" vertical="center" wrapText="1"/>
    </xf>
    <xf numFmtId="0" fontId="25" fillId="0" borderId="15" xfId="0" applyFont="1" applyBorder="1" applyAlignment="1">
      <alignment vertical="center" wrapText="1"/>
    </xf>
    <xf numFmtId="0" fontId="24" fillId="0" borderId="15" xfId="0" applyFont="1" applyBorder="1" applyAlignment="1">
      <alignment vertical="center" wrapText="1"/>
    </xf>
    <xf numFmtId="0" fontId="26" fillId="0" borderId="14" xfId="0" applyFont="1" applyBorder="1" applyAlignment="1">
      <alignment horizontal="center" vertical="center" wrapText="1"/>
    </xf>
    <xf numFmtId="0" fontId="27" fillId="0" borderId="0" xfId="0" applyFont="1"/>
    <xf numFmtId="0" fontId="29" fillId="0" borderId="13" xfId="0" applyFont="1" applyBorder="1" applyAlignment="1">
      <alignment horizontal="center" vertical="center" wrapText="1"/>
    </xf>
    <xf numFmtId="0" fontId="28" fillId="0" borderId="13" xfId="0" applyFont="1" applyBorder="1" applyAlignment="1">
      <alignment horizontal="center" vertical="center" wrapText="1"/>
    </xf>
    <xf numFmtId="0" fontId="14" fillId="0" borderId="0" xfId="0" applyFont="1" applyBorder="1" applyAlignment="1">
      <alignment horizontal="center" vertical="center" wrapText="1"/>
    </xf>
    <xf numFmtId="0" fontId="0" fillId="0" borderId="0" xfId="0" applyFill="1" applyBorder="1"/>
    <xf numFmtId="0" fontId="29" fillId="0" borderId="13" xfId="0" applyFont="1" applyBorder="1" applyAlignment="1">
      <alignment horizontal="center" vertical="center"/>
    </xf>
    <xf numFmtId="0" fontId="29" fillId="0" borderId="15" xfId="0" applyFont="1" applyBorder="1" applyAlignment="1">
      <alignment horizontal="center" vertical="center"/>
    </xf>
    <xf numFmtId="0" fontId="29" fillId="0" borderId="15" xfId="0" applyFont="1" applyBorder="1" applyAlignment="1">
      <alignment horizontal="center" vertical="center" wrapText="1"/>
    </xf>
    <xf numFmtId="0" fontId="19" fillId="0" borderId="1" xfId="3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vertical="center" wrapText="1"/>
    </xf>
    <xf numFmtId="0" fontId="29" fillId="0" borderId="16" xfId="0" applyFont="1" applyBorder="1" applyAlignment="1">
      <alignment horizontal="center" vertical="center"/>
    </xf>
    <xf numFmtId="0" fontId="29" fillId="0" borderId="17" xfId="0" applyFont="1" applyBorder="1" applyAlignment="1">
      <alignment horizontal="center" vertical="center" wrapText="1"/>
    </xf>
    <xf numFmtId="10" fontId="1" fillId="0" borderId="1" xfId="3" applyNumberFormat="1" applyBorder="1" applyAlignment="1">
      <alignment horizontal="center" vertical="center"/>
    </xf>
    <xf numFmtId="10" fontId="0" fillId="0" borderId="1" xfId="3" applyNumberFormat="1" applyFont="1" applyBorder="1" applyAlignment="1">
      <alignment vertical="center"/>
    </xf>
    <xf numFmtId="0" fontId="0" fillId="0" borderId="1" xfId="3" applyFont="1" applyBorder="1" applyAlignment="1">
      <alignment horizontal="center" vertical="center"/>
    </xf>
    <xf numFmtId="10" fontId="0" fillId="0" borderId="0" xfId="0" applyNumberFormat="1"/>
    <xf numFmtId="10" fontId="4" fillId="0" borderId="3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24" fillId="0" borderId="13" xfId="0" applyFont="1" applyBorder="1" applyAlignment="1">
      <alignment horizontal="center" vertical="center" wrapText="1"/>
    </xf>
    <xf numFmtId="49" fontId="29" fillId="0" borderId="13" xfId="0" applyNumberFormat="1" applyFont="1" applyBorder="1" applyAlignment="1">
      <alignment horizontal="center" vertical="center" wrapText="1"/>
    </xf>
    <xf numFmtId="10" fontId="29" fillId="0" borderId="13" xfId="0" applyNumberFormat="1" applyFont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 wrapText="1"/>
    </xf>
    <xf numFmtId="0" fontId="25" fillId="0" borderId="13" xfId="0" applyFont="1" applyBorder="1" applyAlignment="1">
      <alignment horizontal="center" vertical="center" wrapText="1"/>
    </xf>
    <xf numFmtId="0" fontId="25" fillId="0" borderId="13" xfId="0" applyFont="1" applyBorder="1" applyAlignment="1">
      <alignment horizontal="left" vertical="center" wrapText="1"/>
    </xf>
    <xf numFmtId="165" fontId="29" fillId="0" borderId="13" xfId="0" applyNumberFormat="1" applyFont="1" applyBorder="1" applyAlignment="1">
      <alignment horizontal="center" vertical="center"/>
    </xf>
    <xf numFmtId="165" fontId="24" fillId="0" borderId="13" xfId="0" applyNumberFormat="1" applyFont="1" applyBorder="1" applyAlignment="1">
      <alignment horizontal="center" vertical="center" wrapText="1"/>
    </xf>
    <xf numFmtId="0" fontId="36" fillId="0" borderId="13" xfId="0" applyFont="1" applyBorder="1" applyAlignment="1">
      <alignment horizontal="center" vertical="center" wrapText="1"/>
    </xf>
    <xf numFmtId="0" fontId="36" fillId="0" borderId="13" xfId="0" applyFont="1" applyBorder="1" applyAlignment="1">
      <alignment horizontal="left" vertical="center" wrapText="1"/>
    </xf>
    <xf numFmtId="10" fontId="5" fillId="2" borderId="0" xfId="2" applyNumberFormat="1" applyFont="1" applyFill="1" applyBorder="1" applyAlignment="1">
      <alignment horizontal="center" vertical="center" wrapText="1"/>
    </xf>
    <xf numFmtId="10" fontId="29" fillId="0" borderId="13" xfId="0" applyNumberFormat="1" applyFont="1" applyBorder="1" applyAlignment="1">
      <alignment horizontal="center" vertical="center"/>
    </xf>
    <xf numFmtId="0" fontId="29" fillId="0" borderId="13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28" fillId="0" borderId="16" xfId="0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9" fontId="5" fillId="0" borderId="7" xfId="0" applyNumberFormat="1" applyFont="1" applyBorder="1" applyAlignment="1">
      <alignment horizontal="center" vertical="center" wrapText="1"/>
    </xf>
    <xf numFmtId="10" fontId="5" fillId="0" borderId="0" xfId="0" applyNumberFormat="1" applyFont="1" applyBorder="1" applyAlignment="1">
      <alignment horizontal="center" vertical="center" wrapText="1"/>
    </xf>
    <xf numFmtId="0" fontId="20" fillId="4" borderId="1" xfId="0" applyFont="1" applyFill="1" applyBorder="1" applyAlignment="1">
      <alignment horizontal="center" vertical="top" wrapText="1"/>
    </xf>
    <xf numFmtId="0" fontId="29" fillId="4" borderId="0" xfId="0" applyFont="1" applyFill="1" applyBorder="1" applyAlignment="1">
      <alignment horizontal="center" vertical="center" wrapText="1"/>
    </xf>
    <xf numFmtId="0" fontId="17" fillId="4" borderId="7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10" fontId="0" fillId="4" borderId="1" xfId="0" applyNumberFormat="1" applyFill="1" applyBorder="1" applyAlignment="1">
      <alignment horizontal="center" vertical="center"/>
    </xf>
    <xf numFmtId="9" fontId="0" fillId="4" borderId="1" xfId="0" applyNumberFormat="1" applyFill="1" applyBorder="1" applyAlignment="1">
      <alignment horizontal="center" vertical="center"/>
    </xf>
    <xf numFmtId="0" fontId="0" fillId="0" borderId="0" xfId="0" applyFont="1" applyAlignment="1"/>
    <xf numFmtId="0" fontId="0" fillId="0" borderId="0" xfId="0" applyFont="1" applyFill="1" applyAlignment="1"/>
    <xf numFmtId="0" fontId="0" fillId="0" borderId="0" xfId="0" applyBorder="1"/>
    <xf numFmtId="10" fontId="14" fillId="0" borderId="5" xfId="0" applyNumberFormat="1" applyFont="1" applyBorder="1" applyAlignment="1">
      <alignment horizontal="center" vertical="center" wrapText="1"/>
    </xf>
    <xf numFmtId="0" fontId="11" fillId="0" borderId="0" xfId="0" applyFont="1" applyBorder="1"/>
    <xf numFmtId="0" fontId="25" fillId="0" borderId="0" xfId="0" applyFont="1" applyFill="1" applyBorder="1" applyAlignment="1">
      <alignment horizontal="center" vertical="center" wrapText="1"/>
    </xf>
    <xf numFmtId="0" fontId="0" fillId="0" borderId="0" xfId="0" applyFont="1" applyBorder="1" applyAlignment="1"/>
    <xf numFmtId="0" fontId="0" fillId="0" borderId="0" xfId="0" applyFont="1" applyFill="1" applyBorder="1" applyAlignment="1"/>
    <xf numFmtId="2" fontId="14" fillId="0" borderId="0" xfId="0" applyNumberFormat="1" applyFont="1" applyBorder="1" applyAlignment="1">
      <alignment horizontal="center" vertical="center" wrapText="1"/>
    </xf>
    <xf numFmtId="0" fontId="19" fillId="0" borderId="0" xfId="0" applyFont="1" applyBorder="1" applyAlignment="1">
      <alignment vertical="center" wrapText="1"/>
    </xf>
    <xf numFmtId="0" fontId="42" fillId="0" borderId="1" xfId="0" applyFont="1" applyFill="1" applyBorder="1" applyAlignment="1">
      <alignment horizontal="center" vertical="center" wrapText="1"/>
    </xf>
    <xf numFmtId="0" fontId="25" fillId="0" borderId="1" xfId="0" applyFont="1" applyFill="1" applyBorder="1" applyAlignment="1">
      <alignment horizontal="center" vertical="center" wrapText="1"/>
    </xf>
    <xf numFmtId="9" fontId="25" fillId="0" borderId="1" xfId="0" applyNumberFormat="1" applyFont="1" applyFill="1" applyBorder="1" applyAlignment="1">
      <alignment horizontal="center" vertical="center" wrapText="1"/>
    </xf>
    <xf numFmtId="0" fontId="44" fillId="0" borderId="1" xfId="0" applyFont="1" applyFill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9" fontId="24" fillId="0" borderId="1" xfId="0" applyNumberFormat="1" applyFont="1" applyFill="1" applyBorder="1" applyAlignment="1">
      <alignment horizontal="center" vertical="center" wrapText="1"/>
    </xf>
    <xf numFmtId="9" fontId="24" fillId="0" borderId="1" xfId="0" applyNumberFormat="1" applyFont="1" applyFill="1" applyBorder="1" applyAlignment="1">
      <alignment horizontal="center" vertical="center"/>
    </xf>
    <xf numFmtId="0" fontId="14" fillId="0" borderId="3" xfId="0" applyFont="1" applyBorder="1" applyAlignment="1">
      <alignment horizontal="center" vertical="center" wrapText="1"/>
    </xf>
    <xf numFmtId="10" fontId="14" fillId="0" borderId="3" xfId="0" applyNumberFormat="1" applyFont="1" applyBorder="1" applyAlignment="1">
      <alignment horizontal="center" vertical="center" wrapText="1"/>
    </xf>
    <xf numFmtId="10" fontId="14" fillId="0" borderId="9" xfId="0" applyNumberFormat="1" applyFont="1" applyBorder="1" applyAlignment="1">
      <alignment horizontal="center" vertical="center" wrapText="1"/>
    </xf>
    <xf numFmtId="10" fontId="14" fillId="0" borderId="0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25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center" wrapText="1"/>
    </xf>
    <xf numFmtId="1" fontId="24" fillId="0" borderId="0" xfId="0" applyNumberFormat="1" applyFont="1" applyBorder="1" applyAlignment="1">
      <alignment horizontal="center" vertical="center" wrapText="1"/>
    </xf>
    <xf numFmtId="0" fontId="24" fillId="0" borderId="0" xfId="0" applyFont="1" applyBorder="1" applyAlignment="1">
      <alignment horizontal="center" vertical="center" wrapText="1"/>
    </xf>
    <xf numFmtId="0" fontId="25" fillId="0" borderId="0" xfId="0" applyFont="1" applyBorder="1" applyAlignment="1">
      <alignment horizontal="left" vertical="center" wrapText="1"/>
    </xf>
    <xf numFmtId="1" fontId="36" fillId="0" borderId="0" xfId="0" applyNumberFormat="1" applyFont="1" applyBorder="1" applyAlignment="1">
      <alignment horizontal="center" vertical="center" wrapText="1"/>
    </xf>
    <xf numFmtId="0" fontId="36" fillId="0" borderId="0" xfId="0" applyFont="1" applyBorder="1" applyAlignment="1">
      <alignment horizontal="center" vertical="center" wrapText="1"/>
    </xf>
    <xf numFmtId="1" fontId="24" fillId="0" borderId="0" xfId="0" applyNumberFormat="1" applyFont="1" applyBorder="1" applyAlignment="1">
      <alignment vertical="center" wrapText="1"/>
    </xf>
    <xf numFmtId="0" fontId="24" fillId="0" borderId="0" xfId="0" applyFont="1" applyBorder="1" applyAlignment="1">
      <alignment vertical="center" wrapText="1"/>
    </xf>
    <xf numFmtId="0" fontId="21" fillId="0" borderId="0" xfId="0" applyFont="1" applyAlignment="1">
      <alignment wrapText="1"/>
    </xf>
    <xf numFmtId="1" fontId="18" fillId="0" borderId="0" xfId="0" applyNumberFormat="1" applyFont="1" applyBorder="1" applyAlignment="1">
      <alignment wrapText="1"/>
    </xf>
    <xf numFmtId="0" fontId="18" fillId="0" borderId="0" xfId="0" applyFont="1" applyBorder="1" applyAlignment="1">
      <alignment wrapText="1"/>
    </xf>
    <xf numFmtId="1" fontId="29" fillId="0" borderId="0" xfId="0" applyNumberFormat="1" applyFont="1" applyBorder="1" applyAlignment="1">
      <alignment horizontal="center" vertical="center" wrapText="1"/>
    </xf>
    <xf numFmtId="0" fontId="0" fillId="0" borderId="0" xfId="0" applyBorder="1" applyAlignment="1">
      <alignment wrapText="1"/>
    </xf>
    <xf numFmtId="0" fontId="21" fillId="0" borderId="12" xfId="0" applyFont="1" applyBorder="1" applyAlignment="1">
      <alignment wrapText="1"/>
    </xf>
    <xf numFmtId="0" fontId="4" fillId="0" borderId="20" xfId="0" applyFont="1" applyBorder="1" applyAlignment="1">
      <alignment vertical="center" wrapText="1"/>
    </xf>
    <xf numFmtId="0" fontId="4" fillId="0" borderId="9" xfId="0" applyFont="1" applyBorder="1" applyAlignment="1">
      <alignment vertical="center" wrapText="1"/>
    </xf>
    <xf numFmtId="0" fontId="4" fillId="0" borderId="26" xfId="0" applyFont="1" applyBorder="1" applyAlignment="1">
      <alignment vertical="center" wrapText="1"/>
    </xf>
    <xf numFmtId="0" fontId="4" fillId="0" borderId="10" xfId="0" applyFont="1" applyBorder="1" applyAlignment="1">
      <alignment vertical="center" wrapText="1"/>
    </xf>
    <xf numFmtId="0" fontId="4" fillId="0" borderId="0" xfId="0" applyFont="1" applyBorder="1" applyAlignment="1">
      <alignment vertical="center" wrapText="1"/>
    </xf>
    <xf numFmtId="0" fontId="4" fillId="0" borderId="20" xfId="0" applyFont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24" fillId="0" borderId="2" xfId="0" applyFont="1" applyBorder="1" applyAlignment="1">
      <alignment horizontal="center" vertical="center"/>
    </xf>
    <xf numFmtId="0" fontId="24" fillId="0" borderId="28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10" fontId="24" fillId="0" borderId="2" xfId="0" applyNumberFormat="1" applyFont="1" applyBorder="1" applyAlignment="1">
      <alignment horizontal="center" vertical="center"/>
    </xf>
    <xf numFmtId="9" fontId="24" fillId="0" borderId="2" xfId="0" applyNumberFormat="1" applyFont="1" applyBorder="1" applyAlignment="1">
      <alignment horizontal="center" vertical="center"/>
    </xf>
    <xf numFmtId="10" fontId="24" fillId="0" borderId="1" xfId="0" applyNumberFormat="1" applyFont="1" applyBorder="1" applyAlignment="1">
      <alignment horizontal="center" vertical="center"/>
    </xf>
    <xf numFmtId="1" fontId="24" fillId="0" borderId="1" xfId="0" applyNumberFormat="1" applyFont="1" applyBorder="1" applyAlignment="1">
      <alignment horizontal="center" vertical="center"/>
    </xf>
    <xf numFmtId="1" fontId="24" fillId="0" borderId="21" xfId="0" applyNumberFormat="1" applyFont="1" applyBorder="1" applyAlignment="1">
      <alignment horizontal="center" vertical="center"/>
    </xf>
    <xf numFmtId="0" fontId="49" fillId="0" borderId="0" xfId="0" applyFont="1" applyBorder="1"/>
    <xf numFmtId="10" fontId="48" fillId="0" borderId="10" xfId="0" applyNumberFormat="1" applyFont="1" applyBorder="1" applyAlignment="1">
      <alignment horizontal="center" vertical="center" wrapText="1"/>
    </xf>
    <xf numFmtId="10" fontId="48" fillId="0" borderId="8" xfId="0" applyNumberFormat="1" applyFont="1" applyBorder="1" applyAlignment="1">
      <alignment horizontal="center" vertical="center" wrapText="1"/>
    </xf>
    <xf numFmtId="10" fontId="48" fillId="0" borderId="1" xfId="0" applyNumberFormat="1" applyFont="1" applyBorder="1" applyAlignment="1">
      <alignment horizontal="center" vertical="center" wrapText="1"/>
    </xf>
    <xf numFmtId="0" fontId="21" fillId="0" borderId="0" xfId="0" applyFont="1" applyBorder="1" applyAlignment="1">
      <alignment wrapText="1"/>
    </xf>
    <xf numFmtId="0" fontId="19" fillId="0" borderId="0" xfId="0" applyFont="1" applyBorder="1" applyAlignment="1">
      <alignment vertical="top" wrapText="1"/>
    </xf>
    <xf numFmtId="9" fontId="4" fillId="0" borderId="0" xfId="0" applyNumberFormat="1" applyFont="1" applyBorder="1" applyAlignment="1">
      <alignment horizontal="center" vertical="center" wrapText="1"/>
    </xf>
    <xf numFmtId="10" fontId="48" fillId="0" borderId="0" xfId="0" applyNumberFormat="1" applyFont="1" applyBorder="1" applyAlignment="1">
      <alignment horizontal="center" vertical="center" wrapText="1"/>
    </xf>
    <xf numFmtId="0" fontId="29" fillId="0" borderId="0" xfId="0" applyFont="1"/>
    <xf numFmtId="0" fontId="52" fillId="0" borderId="0" xfId="0" applyFont="1"/>
    <xf numFmtId="0" fontId="29" fillId="0" borderId="0" xfId="0" applyFont="1" applyAlignment="1">
      <alignment horizontal="center"/>
    </xf>
    <xf numFmtId="0" fontId="29" fillId="0" borderId="0" xfId="0" applyFont="1" applyAlignment="1">
      <alignment horizontal="center" vertical="center"/>
    </xf>
    <xf numFmtId="0" fontId="0" fillId="0" borderId="0" xfId="0" applyFont="1" applyAlignment="1"/>
    <xf numFmtId="0" fontId="4" fillId="0" borderId="1" xfId="0" applyFont="1" applyBorder="1" applyAlignment="1">
      <alignment horizontal="center" vertical="center" wrapText="1"/>
    </xf>
    <xf numFmtId="10" fontId="5" fillId="0" borderId="1" xfId="0" applyNumberFormat="1" applyFont="1" applyBorder="1" applyAlignment="1">
      <alignment horizontal="center" vertical="center" wrapText="1"/>
    </xf>
    <xf numFmtId="0" fontId="42" fillId="6" borderId="14" xfId="0" applyFont="1" applyFill="1" applyBorder="1" applyAlignment="1">
      <alignment horizontal="center" vertical="center" wrapText="1"/>
    </xf>
    <xf numFmtId="166" fontId="25" fillId="0" borderId="13" xfId="0" applyNumberFormat="1" applyFont="1" applyBorder="1" applyAlignment="1">
      <alignment horizontal="center" vertical="center"/>
    </xf>
    <xf numFmtId="166" fontId="25" fillId="0" borderId="14" xfId="0" applyNumberFormat="1" applyFont="1" applyBorder="1" applyAlignment="1">
      <alignment horizontal="center" vertical="center"/>
    </xf>
    <xf numFmtId="0" fontId="42" fillId="6" borderId="13" xfId="0" applyFont="1" applyFill="1" applyBorder="1" applyAlignment="1">
      <alignment horizontal="center" vertical="center" wrapText="1"/>
    </xf>
    <xf numFmtId="0" fontId="60" fillId="0" borderId="0" xfId="0" applyFont="1"/>
    <xf numFmtId="0" fontId="53" fillId="0" borderId="13" xfId="0" applyFont="1" applyBorder="1" applyAlignment="1">
      <alignment horizontal="center" vertical="center" wrapText="1"/>
    </xf>
    <xf numFmtId="166" fontId="61" fillId="0" borderId="13" xfId="0" applyNumberFormat="1" applyFont="1" applyBorder="1" applyAlignment="1">
      <alignment horizontal="center" vertical="center"/>
    </xf>
    <xf numFmtId="166" fontId="61" fillId="0" borderId="14" xfId="0" applyNumberFormat="1" applyFont="1" applyBorder="1" applyAlignment="1">
      <alignment horizontal="center" vertical="center"/>
    </xf>
    <xf numFmtId="0" fontId="62" fillId="0" borderId="0" xfId="0" applyFont="1"/>
    <xf numFmtId="0" fontId="42" fillId="0" borderId="13" xfId="0" applyFont="1" applyBorder="1" applyAlignment="1">
      <alignment horizontal="center" vertical="center" wrapText="1"/>
    </xf>
    <xf numFmtId="166" fontId="24" fillId="0" borderId="13" xfId="0" applyNumberFormat="1" applyFont="1" applyBorder="1" applyAlignment="1">
      <alignment horizontal="center" vertical="center"/>
    </xf>
    <xf numFmtId="166" fontId="25" fillId="6" borderId="13" xfId="0" applyNumberFormat="1" applyFont="1" applyFill="1" applyBorder="1" applyAlignment="1">
      <alignment horizontal="center" vertical="center"/>
    </xf>
    <xf numFmtId="0" fontId="44" fillId="6" borderId="13" xfId="0" applyFont="1" applyFill="1" applyBorder="1" applyAlignment="1">
      <alignment horizontal="center" vertical="center" wrapText="1"/>
    </xf>
    <xf numFmtId="166" fontId="24" fillId="6" borderId="13" xfId="0" applyNumberFormat="1" applyFont="1" applyFill="1" applyBorder="1" applyAlignment="1">
      <alignment horizontal="center" vertical="center"/>
    </xf>
    <xf numFmtId="0" fontId="42" fillId="7" borderId="13" xfId="0" applyFont="1" applyFill="1" applyBorder="1" applyAlignment="1">
      <alignment horizontal="center" vertical="center" wrapText="1"/>
    </xf>
    <xf numFmtId="0" fontId="25" fillId="7" borderId="13" xfId="0" applyFont="1" applyFill="1" applyBorder="1" applyAlignment="1">
      <alignment horizontal="center" vertical="center" wrapText="1"/>
    </xf>
    <xf numFmtId="0" fontId="44" fillId="7" borderId="13" xfId="0" applyFont="1" applyFill="1" applyBorder="1" applyAlignment="1">
      <alignment horizontal="center" vertical="center" wrapText="1"/>
    </xf>
    <xf numFmtId="166" fontId="24" fillId="7" borderId="13" xfId="0" applyNumberFormat="1" applyFont="1" applyFill="1" applyBorder="1" applyAlignment="1">
      <alignment horizontal="center" vertical="center"/>
    </xf>
    <xf numFmtId="0" fontId="63" fillId="6" borderId="0" xfId="0" applyFont="1" applyFill="1" applyAlignment="1">
      <alignment horizontal="center"/>
    </xf>
    <xf numFmtId="0" fontId="42" fillId="7" borderId="13" xfId="0" applyFont="1" applyFill="1" applyBorder="1" applyAlignment="1">
      <alignment horizontal="center"/>
    </xf>
    <xf numFmtId="0" fontId="42" fillId="8" borderId="13" xfId="0" applyFont="1" applyFill="1" applyBorder="1" applyAlignment="1">
      <alignment horizontal="center" vertical="center" wrapText="1"/>
    </xf>
    <xf numFmtId="166" fontId="24" fillId="8" borderId="13" xfId="0" applyNumberFormat="1" applyFont="1" applyFill="1" applyBorder="1" applyAlignment="1">
      <alignment horizontal="center" vertical="center"/>
    </xf>
    <xf numFmtId="0" fontId="44" fillId="0" borderId="1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49" fontId="2" fillId="0" borderId="0" xfId="0" applyNumberFormat="1" applyFont="1" applyAlignment="1">
      <alignment horizontal="left" vertical="top" wrapText="1"/>
    </xf>
    <xf numFmtId="0" fontId="11" fillId="0" borderId="0" xfId="0" applyFont="1" applyAlignment="1">
      <alignment horizontal="left" vertical="center" wrapText="1"/>
    </xf>
    <xf numFmtId="49" fontId="2" fillId="0" borderId="0" xfId="0" applyNumberFormat="1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25" fillId="0" borderId="1" xfId="0" applyFont="1" applyFill="1" applyBorder="1" applyAlignment="1">
      <alignment horizontal="center" vertical="center" wrapText="1"/>
    </xf>
    <xf numFmtId="9" fontId="25" fillId="0" borderId="1" xfId="0" applyNumberFormat="1" applyFont="1" applyFill="1" applyBorder="1" applyAlignment="1">
      <alignment horizontal="center" vertical="center" wrapText="1"/>
    </xf>
    <xf numFmtId="9" fontId="24" fillId="0" borderId="1" xfId="0" applyNumberFormat="1" applyFont="1" applyFill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25" fillId="0" borderId="1" xfId="0" applyFont="1" applyFill="1" applyBorder="1" applyAlignment="1">
      <alignment horizontal="left" vertical="center" wrapText="1"/>
    </xf>
    <xf numFmtId="0" fontId="19" fillId="0" borderId="1" xfId="0" applyFont="1" applyBorder="1" applyAlignment="1">
      <alignment horizontal="center" vertical="center" wrapText="1"/>
    </xf>
    <xf numFmtId="0" fontId="4" fillId="0" borderId="1" xfId="3" applyFont="1" applyBorder="1" applyAlignment="1">
      <alignment horizontal="center" vertical="center" wrapText="1"/>
    </xf>
    <xf numFmtId="0" fontId="4" fillId="0" borderId="5" xfId="3" applyFont="1" applyBorder="1" applyAlignment="1">
      <alignment horizontal="left" vertical="center" wrapText="1"/>
    </xf>
    <xf numFmtId="0" fontId="4" fillId="0" borderId="6" xfId="3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42" fillId="7" borderId="16" xfId="0" applyFont="1" applyFill="1" applyBorder="1" applyAlignment="1">
      <alignment horizontal="center" vertical="center" wrapText="1"/>
    </xf>
    <xf numFmtId="0" fontId="59" fillId="0" borderId="14" xfId="0" applyFont="1" applyBorder="1"/>
    <xf numFmtId="0" fontId="42" fillId="0" borderId="16" xfId="0" applyFont="1" applyBorder="1" applyAlignment="1">
      <alignment horizontal="center" vertical="center" wrapText="1"/>
    </xf>
    <xf numFmtId="0" fontId="59" fillId="0" borderId="21" xfId="0" applyFont="1" applyBorder="1"/>
    <xf numFmtId="0" fontId="42" fillId="8" borderId="16" xfId="0" applyFont="1" applyFill="1" applyBorder="1" applyAlignment="1">
      <alignment horizontal="center" vertical="center" wrapText="1"/>
    </xf>
    <xf numFmtId="0" fontId="25" fillId="7" borderId="16" xfId="0" applyFont="1" applyFill="1" applyBorder="1" applyAlignment="1">
      <alignment horizontal="center" vertical="center" wrapText="1"/>
    </xf>
    <xf numFmtId="0" fontId="42" fillId="6" borderId="16" xfId="0" applyFont="1" applyFill="1" applyBorder="1" applyAlignment="1">
      <alignment horizontal="center" vertical="center" wrapText="1"/>
    </xf>
    <xf numFmtId="0" fontId="53" fillId="6" borderId="16" xfId="0" applyFont="1" applyFill="1" applyBorder="1" applyAlignment="1">
      <alignment horizontal="center" vertical="center" wrapText="1"/>
    </xf>
    <xf numFmtId="0" fontId="53" fillId="0" borderId="16" xfId="0" applyFont="1" applyBorder="1" applyAlignment="1">
      <alignment horizontal="center" vertical="center" wrapText="1"/>
    </xf>
    <xf numFmtId="0" fontId="29" fillId="0" borderId="16" xfId="0" applyFont="1" applyBorder="1" applyAlignment="1">
      <alignment horizontal="center" vertical="center" wrapText="1"/>
    </xf>
    <xf numFmtId="0" fontId="18" fillId="0" borderId="21" xfId="0" applyFont="1" applyBorder="1"/>
    <xf numFmtId="0" fontId="18" fillId="0" borderId="14" xfId="0" applyFont="1" applyBorder="1"/>
    <xf numFmtId="0" fontId="21" fillId="0" borderId="0" xfId="0" applyFont="1" applyAlignment="1">
      <alignment horizontal="left" wrapText="1"/>
    </xf>
    <xf numFmtId="0" fontId="0" fillId="0" borderId="27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48" fillId="0" borderId="2" xfId="0" applyFont="1" applyBorder="1" applyAlignment="1">
      <alignment horizontal="center" vertical="center" wrapText="1"/>
    </xf>
    <xf numFmtId="0" fontId="48" fillId="0" borderId="4" xfId="0" applyFont="1" applyBorder="1" applyAlignment="1">
      <alignment horizontal="center" vertical="center" wrapText="1"/>
    </xf>
    <xf numFmtId="0" fontId="48" fillId="0" borderId="3" xfId="0" applyFont="1" applyBorder="1" applyAlignment="1">
      <alignment horizontal="center" vertical="center" wrapText="1"/>
    </xf>
    <xf numFmtId="0" fontId="19" fillId="0" borderId="5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19" fillId="0" borderId="5" xfId="0" applyFont="1" applyBorder="1" applyAlignment="1">
      <alignment horizontal="left" vertical="top" wrapText="1"/>
    </xf>
    <xf numFmtId="0" fontId="19" fillId="0" borderId="27" xfId="0" applyFont="1" applyBorder="1" applyAlignment="1">
      <alignment horizontal="left" vertical="top" wrapText="1"/>
    </xf>
    <xf numFmtId="0" fontId="19" fillId="0" borderId="6" xfId="0" applyFont="1" applyBorder="1" applyAlignment="1">
      <alignment horizontal="left" vertical="top" wrapText="1"/>
    </xf>
    <xf numFmtId="0" fontId="19" fillId="0" borderId="7" xfId="0" applyFont="1" applyBorder="1" applyAlignment="1">
      <alignment horizontal="left" vertical="top" wrapText="1"/>
    </xf>
    <xf numFmtId="0" fontId="24" fillId="0" borderId="16" xfId="0" applyFont="1" applyBorder="1" applyAlignment="1">
      <alignment horizontal="center" vertical="center" wrapText="1"/>
    </xf>
    <xf numFmtId="0" fontId="25" fillId="0" borderId="16" xfId="0" applyFont="1" applyBorder="1" applyAlignment="1">
      <alignment horizontal="left" vertical="center" wrapText="1"/>
    </xf>
    <xf numFmtId="0" fontId="53" fillId="0" borderId="0" xfId="0" applyFont="1" applyAlignment="1">
      <alignment horizontal="center"/>
    </xf>
    <xf numFmtId="0" fontId="0" fillId="0" borderId="0" xfId="0" applyFont="1" applyAlignment="1"/>
    <xf numFmtId="10" fontId="29" fillId="0" borderId="16" xfId="0" applyNumberFormat="1" applyFont="1" applyBorder="1" applyAlignment="1">
      <alignment horizontal="center" vertical="center"/>
    </xf>
    <xf numFmtId="10" fontId="29" fillId="0" borderId="16" xfId="0" applyNumberFormat="1" applyFont="1" applyBorder="1" applyAlignment="1">
      <alignment horizontal="center" vertical="center" wrapText="1"/>
    </xf>
    <xf numFmtId="0" fontId="4" fillId="0" borderId="9" xfId="0" applyFont="1" applyBorder="1" applyAlignment="1">
      <alignment horizontal="left" vertical="center" wrapText="1"/>
    </xf>
    <xf numFmtId="0" fontId="4" fillId="0" borderId="12" xfId="0" applyFont="1" applyBorder="1" applyAlignment="1">
      <alignment horizontal="left" vertical="center" wrapText="1"/>
    </xf>
    <xf numFmtId="10" fontId="5" fillId="0" borderId="1" xfId="0" applyNumberFormat="1" applyFont="1" applyBorder="1" applyAlignment="1">
      <alignment horizontal="center" vertical="center" wrapText="1"/>
    </xf>
    <xf numFmtId="0" fontId="56" fillId="0" borderId="14" xfId="0" applyFont="1" applyFill="1" applyBorder="1" applyAlignment="1">
      <alignment horizontal="center" vertical="center" wrapText="1"/>
    </xf>
    <xf numFmtId="166" fontId="56" fillId="0" borderId="14" xfId="0" applyNumberFormat="1" applyFont="1" applyFill="1" applyBorder="1" applyAlignment="1">
      <alignment horizontal="center" vertical="center" wrapText="1"/>
    </xf>
    <xf numFmtId="166" fontId="57" fillId="0" borderId="14" xfId="0" applyNumberFormat="1" applyFont="1" applyFill="1" applyBorder="1" applyAlignment="1">
      <alignment horizontal="center" vertical="center" wrapText="1"/>
    </xf>
    <xf numFmtId="166" fontId="56" fillId="0" borderId="19" xfId="0" applyNumberFormat="1" applyFont="1" applyFill="1" applyBorder="1" applyAlignment="1">
      <alignment horizontal="center" vertical="center" wrapText="1"/>
    </xf>
    <xf numFmtId="166" fontId="56" fillId="0" borderId="1" xfId="0" applyNumberFormat="1" applyFont="1" applyBorder="1" applyAlignment="1">
      <alignment horizontal="center" vertical="center"/>
    </xf>
    <xf numFmtId="0" fontId="4" fillId="0" borderId="7" xfId="0" applyFont="1" applyBorder="1" applyAlignment="1">
      <alignment vertical="center" wrapText="1"/>
    </xf>
    <xf numFmtId="9" fontId="25" fillId="0" borderId="14" xfId="0" applyNumberFormat="1" applyFont="1" applyBorder="1" applyAlignment="1">
      <alignment horizontal="center" vertical="center"/>
    </xf>
    <xf numFmtId="166" fontId="65" fillId="0" borderId="9" xfId="0" applyNumberFormat="1" applyFont="1" applyFill="1" applyBorder="1" applyAlignment="1">
      <alignment horizontal="center" vertical="center" wrapText="1"/>
    </xf>
    <xf numFmtId="0" fontId="66" fillId="0" borderId="10" xfId="0" applyFont="1" applyFill="1" applyBorder="1"/>
    <xf numFmtId="0" fontId="0" fillId="0" borderId="6" xfId="0" applyBorder="1"/>
    <xf numFmtId="0" fontId="67" fillId="0" borderId="9" xfId="0" applyFont="1" applyBorder="1" applyAlignment="1">
      <alignment horizontal="left" vertical="center" wrapText="1"/>
    </xf>
    <xf numFmtId="0" fontId="67" fillId="0" borderId="12" xfId="0" applyFont="1" applyBorder="1" applyAlignment="1">
      <alignment horizontal="left" vertical="center" wrapText="1"/>
    </xf>
    <xf numFmtId="0" fontId="67" fillId="0" borderId="10" xfId="0" applyFont="1" applyBorder="1" applyAlignment="1">
      <alignment horizontal="left" vertical="center" wrapText="1"/>
    </xf>
    <xf numFmtId="0" fontId="68" fillId="0" borderId="5" xfId="0" applyFont="1" applyBorder="1" applyAlignment="1">
      <alignment horizontal="center" vertical="center" wrapText="1"/>
    </xf>
    <xf numFmtId="0" fontId="68" fillId="0" borderId="6" xfId="0" applyFont="1" applyBorder="1" applyAlignment="1">
      <alignment horizontal="center" vertical="center" wrapText="1"/>
    </xf>
    <xf numFmtId="0" fontId="50" fillId="0" borderId="17" xfId="0" applyFont="1" applyFill="1" applyBorder="1" applyAlignment="1">
      <alignment horizontal="center" vertical="center" wrapText="1"/>
    </xf>
    <xf numFmtId="0" fontId="18" fillId="0" borderId="29" xfId="0" applyFont="1" applyFill="1" applyBorder="1"/>
    <xf numFmtId="0" fontId="18" fillId="0" borderId="18" xfId="0" applyFont="1" applyFill="1" applyBorder="1"/>
    <xf numFmtId="0" fontId="51" fillId="0" borderId="13" xfId="0" applyFont="1" applyFill="1" applyBorder="1" applyAlignment="1">
      <alignment horizontal="center" vertical="center" wrapText="1"/>
    </xf>
    <xf numFmtId="0" fontId="40" fillId="0" borderId="22" xfId="0" applyFont="1" applyFill="1" applyBorder="1" applyAlignment="1">
      <alignment horizontal="center" vertical="center" wrapText="1"/>
    </xf>
    <xf numFmtId="0" fontId="18" fillId="0" borderId="23" xfId="0" applyFont="1" applyFill="1" applyBorder="1"/>
    <xf numFmtId="0" fontId="18" fillId="0" borderId="24" xfId="0" applyFont="1" applyFill="1" applyBorder="1"/>
    <xf numFmtId="0" fontId="41" fillId="0" borderId="13" xfId="0" applyFont="1" applyFill="1" applyBorder="1" applyAlignment="1">
      <alignment horizontal="center" vertical="center"/>
    </xf>
    <xf numFmtId="0" fontId="18" fillId="0" borderId="19" xfId="0" applyFont="1" applyFill="1" applyBorder="1"/>
    <xf numFmtId="0" fontId="18" fillId="0" borderId="25" xfId="0" applyFont="1" applyFill="1" applyBorder="1"/>
    <xf numFmtId="0" fontId="18" fillId="0" borderId="15" xfId="0" applyFont="1" applyFill="1" applyBorder="1"/>
    <xf numFmtId="10" fontId="24" fillId="0" borderId="13" xfId="0" applyNumberFormat="1" applyFont="1" applyFill="1" applyBorder="1" applyAlignment="1">
      <alignment horizontal="center" vertical="center"/>
    </xf>
    <xf numFmtId="0" fontId="24" fillId="0" borderId="13" xfId="0" applyFont="1" applyFill="1" applyBorder="1" applyAlignment="1">
      <alignment horizontal="center" vertical="center" wrapText="1"/>
    </xf>
    <xf numFmtId="0" fontId="21" fillId="0" borderId="1" xfId="0" applyFont="1" applyFill="1" applyBorder="1" applyAlignment="1"/>
    <xf numFmtId="0" fontId="41" fillId="0" borderId="1" xfId="0" applyFont="1" applyFill="1" applyBorder="1" applyAlignment="1">
      <alignment horizontal="center" vertical="center" wrapText="1"/>
    </xf>
    <xf numFmtId="0" fontId="41" fillId="0" borderId="1" xfId="0" applyFont="1" applyFill="1" applyBorder="1" applyAlignment="1">
      <alignment horizontal="center" vertical="center"/>
    </xf>
    <xf numFmtId="0" fontId="41" fillId="0" borderId="1" xfId="0" applyFont="1" applyFill="1" applyBorder="1" applyAlignment="1">
      <alignment horizontal="center" vertical="center" wrapText="1"/>
    </xf>
    <xf numFmtId="0" fontId="44" fillId="5" borderId="1" xfId="0" applyFont="1" applyFill="1" applyBorder="1" applyAlignment="1">
      <alignment horizontal="center" vertical="center" wrapText="1"/>
    </xf>
    <xf numFmtId="0" fontId="46" fillId="5" borderId="1" xfId="0" applyFont="1" applyFill="1" applyBorder="1" applyAlignment="1">
      <alignment horizontal="center" vertical="center" wrapText="1"/>
    </xf>
  </cellXfs>
  <cellStyles count="12">
    <cellStyle name="Moeda 2" xfId="6"/>
    <cellStyle name="Moeda 3" xfId="11"/>
    <cellStyle name="Normal" xfId="0" builtinId="0"/>
    <cellStyle name="Normal 2" xfId="7"/>
    <cellStyle name="Normal 3" xfId="8"/>
    <cellStyle name="Normal 4" xfId="3"/>
    <cellStyle name="Porcentagem" xfId="2" builtinId="5"/>
    <cellStyle name="Porcentagem 2" xfId="9"/>
    <cellStyle name="Porcentagem 3" xfId="4"/>
    <cellStyle name="Vírgula" xfId="1" builtinId="3"/>
    <cellStyle name="Vírgula 2" xfId="10"/>
    <cellStyle name="Vírgula 3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26"/>
  <sheetViews>
    <sheetView showGridLines="0" topLeftCell="B1" workbookViewId="0">
      <selection activeCell="B12" sqref="B12"/>
    </sheetView>
  </sheetViews>
  <sheetFormatPr defaultRowHeight="15"/>
  <cols>
    <col min="1" max="1" width="4.140625" customWidth="1"/>
    <col min="3" max="3" width="7.28515625" customWidth="1"/>
    <col min="4" max="4" width="9.85546875" customWidth="1"/>
    <col min="5" max="5" width="7.28515625" customWidth="1"/>
    <col min="6" max="9" width="7.42578125" customWidth="1"/>
    <col min="10" max="10" width="13.85546875" customWidth="1"/>
    <col min="11" max="11" width="8.85546875" customWidth="1"/>
    <col min="12" max="12" width="13.140625" customWidth="1"/>
    <col min="13" max="13" width="8.85546875" customWidth="1"/>
    <col min="14" max="14" width="13.5703125" customWidth="1"/>
    <col min="15" max="15" width="7.85546875" customWidth="1"/>
  </cols>
  <sheetData>
    <row r="1" spans="2:17" ht="17.25">
      <c r="B1" s="4" t="s">
        <v>168</v>
      </c>
    </row>
    <row r="2" spans="2:17" ht="17.25">
      <c r="B2" s="4" t="s">
        <v>187</v>
      </c>
    </row>
    <row r="3" spans="2:17">
      <c r="B3" s="4" t="s">
        <v>169</v>
      </c>
    </row>
    <row r="4" spans="2:17">
      <c r="C4" s="4"/>
    </row>
    <row r="5" spans="2:17" ht="15.75" customHeight="1">
      <c r="B5" s="214" t="s">
        <v>170</v>
      </c>
      <c r="C5" s="214"/>
      <c r="D5" s="214"/>
      <c r="E5" s="214"/>
      <c r="F5" s="214"/>
      <c r="G5" s="214"/>
      <c r="H5" s="214"/>
      <c r="I5" s="214"/>
      <c r="J5" s="214"/>
      <c r="K5" s="214"/>
      <c r="L5" s="214"/>
      <c r="M5" s="214"/>
      <c r="N5" s="214"/>
      <c r="O5" s="214"/>
    </row>
    <row r="6" spans="2:17" ht="33" customHeight="1">
      <c r="B6" s="213" t="s">
        <v>188</v>
      </c>
      <c r="C6" s="213"/>
      <c r="D6" s="213"/>
      <c r="E6" s="213"/>
      <c r="F6" s="213"/>
      <c r="G6" s="213"/>
      <c r="H6" s="213"/>
      <c r="I6" s="213"/>
      <c r="J6" s="213"/>
      <c r="K6" s="213"/>
      <c r="L6" s="213"/>
      <c r="M6" s="213"/>
      <c r="N6" s="213"/>
      <c r="O6" s="213"/>
    </row>
    <row r="7" spans="2:17" ht="39.75">
      <c r="B7" s="10" t="s">
        <v>140</v>
      </c>
      <c r="C7" s="10" t="s">
        <v>0</v>
      </c>
      <c r="D7" s="10" t="s">
        <v>190</v>
      </c>
      <c r="E7" s="10" t="s">
        <v>191</v>
      </c>
      <c r="F7" s="11" t="s">
        <v>192</v>
      </c>
      <c r="G7" s="11" t="s">
        <v>193</v>
      </c>
      <c r="H7" s="11" t="s">
        <v>194</v>
      </c>
      <c r="I7" s="11" t="s">
        <v>7</v>
      </c>
      <c r="J7" s="10" t="s">
        <v>251</v>
      </c>
      <c r="K7" s="10" t="s">
        <v>243</v>
      </c>
      <c r="L7" s="10" t="s">
        <v>252</v>
      </c>
      <c r="M7" s="10" t="s">
        <v>246</v>
      </c>
      <c r="N7" s="10" t="s">
        <v>253</v>
      </c>
      <c r="O7" s="10" t="s">
        <v>247</v>
      </c>
    </row>
    <row r="8" spans="2:17">
      <c r="B8" s="18">
        <v>1</v>
      </c>
      <c r="C8" s="1"/>
      <c r="D8" s="1"/>
      <c r="E8" s="1"/>
      <c r="F8" s="1"/>
      <c r="G8" s="1"/>
      <c r="H8" s="1"/>
      <c r="I8" s="1"/>
      <c r="J8" s="1"/>
      <c r="K8" s="1"/>
      <c r="L8" s="1"/>
      <c r="M8" s="8"/>
      <c r="N8" s="1"/>
      <c r="O8" s="1"/>
    </row>
    <row r="9" spans="2:17">
      <c r="B9" s="18">
        <v>2</v>
      </c>
      <c r="C9" s="6"/>
      <c r="D9" s="6"/>
      <c r="E9" s="6"/>
      <c r="F9" s="6"/>
      <c r="G9" s="6"/>
      <c r="H9" s="6"/>
      <c r="I9" s="6"/>
      <c r="J9" s="6"/>
      <c r="K9" s="6"/>
      <c r="L9" s="6"/>
      <c r="M9" s="7"/>
      <c r="N9" s="6"/>
      <c r="O9" s="6"/>
    </row>
    <row r="10" spans="2:17">
      <c r="B10" s="18">
        <v>3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8"/>
      <c r="N10" s="1"/>
      <c r="O10" s="1"/>
    </row>
    <row r="11" spans="2:17">
      <c r="B11" s="18" t="s">
        <v>7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9"/>
      <c r="N11" s="5"/>
      <c r="O11" s="5"/>
    </row>
    <row r="12" spans="2:17"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2:17">
      <c r="B13" s="4" t="s">
        <v>2</v>
      </c>
    </row>
    <row r="14" spans="2:17" ht="30" customHeight="1">
      <c r="B14" s="215" t="s">
        <v>184</v>
      </c>
      <c r="C14" s="215"/>
      <c r="D14" s="215"/>
      <c r="E14" s="215"/>
      <c r="F14" s="215"/>
      <c r="G14" s="215"/>
      <c r="H14" s="215"/>
      <c r="I14" s="215"/>
      <c r="J14" s="215"/>
      <c r="K14" s="215"/>
      <c r="L14" s="215"/>
      <c r="M14" s="215"/>
      <c r="N14" s="215"/>
      <c r="O14" s="215"/>
    </row>
    <row r="15" spans="2:17" ht="30.75" customHeight="1">
      <c r="B15" s="216" t="s">
        <v>185</v>
      </c>
      <c r="C15" s="216"/>
      <c r="D15" s="216"/>
      <c r="E15" s="216"/>
      <c r="F15" s="216"/>
      <c r="G15" s="216"/>
      <c r="H15" s="216"/>
      <c r="I15" s="216"/>
      <c r="J15" s="216"/>
      <c r="K15" s="216"/>
      <c r="L15" s="216"/>
      <c r="M15" s="216"/>
      <c r="N15" s="216"/>
      <c r="O15" s="216"/>
      <c r="P15" s="14"/>
      <c r="Q15" s="14"/>
    </row>
    <row r="16" spans="2:17" ht="15" customHeight="1">
      <c r="B16" s="216" t="s">
        <v>186</v>
      </c>
      <c r="C16" s="216"/>
      <c r="D16" s="216"/>
      <c r="E16" s="216"/>
      <c r="F16" s="216"/>
      <c r="G16" s="216"/>
      <c r="H16" s="216"/>
      <c r="I16" s="216"/>
      <c r="J16" s="216"/>
      <c r="K16" s="216"/>
      <c r="L16" s="216"/>
      <c r="M16" s="216"/>
      <c r="N16" s="216"/>
      <c r="O16" s="216"/>
      <c r="P16" s="14"/>
      <c r="Q16" s="14"/>
    </row>
    <row r="17" spans="2:17">
      <c r="B17" s="217" t="s">
        <v>286</v>
      </c>
      <c r="C17" s="217"/>
      <c r="D17" s="217"/>
      <c r="E17" s="217"/>
      <c r="F17" s="217"/>
      <c r="G17" s="217"/>
      <c r="H17" s="217"/>
      <c r="I17" s="217"/>
      <c r="J17" s="217"/>
      <c r="K17" s="217"/>
      <c r="L17" s="217"/>
      <c r="M17" s="217"/>
      <c r="N17" s="217"/>
      <c r="O17" s="217"/>
      <c r="P17" s="14"/>
      <c r="Q17" s="14"/>
    </row>
    <row r="18" spans="2:17" ht="57.75" customHeight="1">
      <c r="B18" s="219" t="s">
        <v>189</v>
      </c>
      <c r="C18" s="219"/>
      <c r="D18" s="219"/>
      <c r="E18" s="219"/>
      <c r="F18" s="219"/>
      <c r="G18" s="219"/>
      <c r="H18" s="219"/>
      <c r="I18" s="219"/>
      <c r="J18" s="219"/>
      <c r="K18" s="219"/>
      <c r="L18" s="219"/>
      <c r="M18" s="219"/>
      <c r="N18" s="219"/>
      <c r="O18" s="219"/>
      <c r="P18" s="14"/>
      <c r="Q18" s="14"/>
    </row>
    <row r="19" spans="2:17" ht="30.75" customHeight="1">
      <c r="B19" s="217" t="s">
        <v>249</v>
      </c>
      <c r="C19" s="217"/>
      <c r="D19" s="217"/>
      <c r="E19" s="217"/>
      <c r="F19" s="217"/>
      <c r="G19" s="217"/>
      <c r="H19" s="217"/>
      <c r="I19" s="217"/>
      <c r="J19" s="217"/>
      <c r="K19" s="217"/>
      <c r="L19" s="217"/>
      <c r="M19" s="217"/>
      <c r="N19" s="217"/>
      <c r="O19" s="217"/>
      <c r="P19" s="14"/>
      <c r="Q19" s="14"/>
    </row>
    <row r="20" spans="2:17" ht="27.75" customHeight="1">
      <c r="B20" s="217" t="s">
        <v>195</v>
      </c>
      <c r="C20" s="217"/>
      <c r="D20" s="217"/>
      <c r="E20" s="217"/>
      <c r="F20" s="217"/>
      <c r="G20" s="217"/>
      <c r="H20" s="217"/>
      <c r="I20" s="217"/>
      <c r="J20" s="217"/>
      <c r="K20" s="217"/>
      <c r="L20" s="217"/>
      <c r="M20" s="217"/>
      <c r="N20" s="217"/>
      <c r="O20" s="217"/>
      <c r="P20" s="15"/>
      <c r="Q20" s="15"/>
    </row>
    <row r="21" spans="2:17" ht="41.25" customHeight="1">
      <c r="B21" s="217" t="s">
        <v>250</v>
      </c>
      <c r="C21" s="217"/>
      <c r="D21" s="217"/>
      <c r="E21" s="217"/>
      <c r="F21" s="217"/>
      <c r="G21" s="217"/>
      <c r="H21" s="217"/>
      <c r="I21" s="217"/>
      <c r="J21" s="217"/>
      <c r="K21" s="217"/>
      <c r="L21" s="217"/>
      <c r="M21" s="217"/>
      <c r="N21" s="217"/>
      <c r="O21" s="217"/>
      <c r="P21" s="14"/>
      <c r="Q21" s="14"/>
    </row>
    <row r="22" spans="2:17" ht="30" customHeight="1">
      <c r="B22" s="217" t="s">
        <v>287</v>
      </c>
      <c r="C22" s="217"/>
      <c r="D22" s="217"/>
      <c r="E22" s="217"/>
      <c r="F22" s="217"/>
      <c r="G22" s="217"/>
      <c r="H22" s="217"/>
      <c r="I22" s="217"/>
      <c r="J22" s="217"/>
      <c r="K22" s="217"/>
      <c r="L22" s="217"/>
      <c r="M22" s="217"/>
      <c r="N22" s="217"/>
      <c r="O22" s="217"/>
      <c r="P22" s="16"/>
    </row>
    <row r="23" spans="2:17">
      <c r="B23" s="218" t="s">
        <v>244</v>
      </c>
      <c r="C23" s="218"/>
      <c r="D23" s="218"/>
      <c r="E23" s="218"/>
      <c r="F23" s="218"/>
      <c r="G23" s="218"/>
      <c r="H23" s="218"/>
      <c r="I23" s="218"/>
      <c r="J23" s="218"/>
      <c r="K23" s="218"/>
      <c r="L23" s="218"/>
      <c r="M23" s="218"/>
      <c r="N23" s="218"/>
      <c r="O23" s="218"/>
    </row>
    <row r="24" spans="2:17" ht="33.75" customHeight="1">
      <c r="B24" s="219" t="s">
        <v>245</v>
      </c>
      <c r="C24" s="219"/>
      <c r="D24" s="219"/>
      <c r="E24" s="219"/>
      <c r="F24" s="219"/>
      <c r="G24" s="219"/>
      <c r="H24" s="219"/>
      <c r="I24" s="219"/>
      <c r="J24" s="219"/>
      <c r="K24" s="219"/>
      <c r="L24" s="219"/>
      <c r="M24" s="219"/>
      <c r="N24" s="219"/>
      <c r="O24" s="219"/>
    </row>
    <row r="25" spans="2:17" ht="43.5" customHeight="1">
      <c r="B25" s="217" t="s">
        <v>288</v>
      </c>
      <c r="C25" s="217"/>
      <c r="D25" s="217"/>
      <c r="E25" s="217"/>
      <c r="F25" s="217"/>
      <c r="G25" s="217"/>
      <c r="H25" s="217"/>
      <c r="I25" s="217"/>
      <c r="J25" s="217"/>
      <c r="K25" s="217"/>
      <c r="L25" s="217"/>
      <c r="M25" s="217"/>
      <c r="N25" s="217"/>
      <c r="O25" s="217"/>
    </row>
    <row r="26" spans="2:17" ht="26.25" customHeight="1">
      <c r="B26" s="217" t="s">
        <v>248</v>
      </c>
      <c r="C26" s="217"/>
      <c r="D26" s="217"/>
      <c r="E26" s="217"/>
      <c r="F26" s="217"/>
      <c r="G26" s="217"/>
      <c r="H26" s="217"/>
      <c r="I26" s="217"/>
      <c r="J26" s="217"/>
      <c r="K26" s="217"/>
      <c r="L26" s="217"/>
      <c r="M26" s="217"/>
      <c r="N26" s="217"/>
      <c r="O26" s="217"/>
    </row>
  </sheetData>
  <mergeCells count="15">
    <mergeCell ref="B25:O25"/>
    <mergeCell ref="B23:O23"/>
    <mergeCell ref="B17:O17"/>
    <mergeCell ref="B19:O19"/>
    <mergeCell ref="B26:O26"/>
    <mergeCell ref="B18:O18"/>
    <mergeCell ref="B20:O20"/>
    <mergeCell ref="B21:O21"/>
    <mergeCell ref="B22:O22"/>
    <mergeCell ref="B24:O24"/>
    <mergeCell ref="B6:O6"/>
    <mergeCell ref="B5:O5"/>
    <mergeCell ref="B14:O14"/>
    <mergeCell ref="B15:O15"/>
    <mergeCell ref="B16:O16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T141"/>
  <sheetViews>
    <sheetView showGridLines="0" workbookViewId="0">
      <selection activeCell="U9" sqref="U9"/>
    </sheetView>
  </sheetViews>
  <sheetFormatPr defaultRowHeight="15"/>
  <cols>
    <col min="1" max="1" width="3.85546875" customWidth="1"/>
    <col min="2" max="2" width="11.85546875" customWidth="1"/>
    <col min="3" max="4" width="14" customWidth="1"/>
    <col min="5" max="5" width="36.5703125" customWidth="1"/>
    <col min="6" max="6" width="7.28515625" customWidth="1"/>
    <col min="7" max="7" width="17.140625" customWidth="1"/>
    <col min="8" max="8" width="15" customWidth="1"/>
    <col min="9" max="9" width="12.140625" customWidth="1"/>
    <col min="10" max="16" width="10.140625" customWidth="1"/>
    <col min="17" max="17" width="7.42578125" customWidth="1"/>
  </cols>
  <sheetData>
    <row r="1" spans="2:20">
      <c r="B1" s="61" t="s">
        <v>940</v>
      </c>
    </row>
    <row r="2" spans="2:20">
      <c r="B2" s="61" t="s">
        <v>686</v>
      </c>
    </row>
    <row r="3" spans="2:20">
      <c r="B3" s="61" t="s">
        <v>1043</v>
      </c>
    </row>
    <row r="4" spans="2:20">
      <c r="B4" s="61"/>
    </row>
    <row r="5" spans="2:20">
      <c r="B5" s="220" t="s">
        <v>939</v>
      </c>
      <c r="C5" s="220"/>
      <c r="D5" s="220"/>
      <c r="E5" s="220"/>
      <c r="F5" s="220"/>
      <c r="G5" s="220"/>
      <c r="H5" s="220"/>
      <c r="I5" s="220"/>
      <c r="J5" s="220"/>
      <c r="K5" s="220"/>
      <c r="L5" s="220"/>
      <c r="M5" s="220"/>
      <c r="N5" s="220"/>
      <c r="O5" s="220"/>
      <c r="P5" s="220"/>
      <c r="Q5" s="220"/>
    </row>
    <row r="6" spans="2:20" ht="29.25" customHeight="1">
      <c r="B6" s="57" t="s">
        <v>311</v>
      </c>
      <c r="C6" s="55"/>
      <c r="D6" s="55"/>
      <c r="E6" s="55"/>
      <c r="F6" s="55"/>
      <c r="G6" s="55"/>
      <c r="H6" s="55"/>
      <c r="I6" s="221" t="s">
        <v>141</v>
      </c>
      <c r="J6" s="222"/>
      <c r="K6" s="222"/>
      <c r="L6" s="223"/>
      <c r="M6" s="221" t="s">
        <v>142</v>
      </c>
      <c r="N6" s="222"/>
      <c r="O6" s="222"/>
      <c r="P6" s="223"/>
      <c r="Q6" s="56"/>
    </row>
    <row r="7" spans="2:20" ht="75.75" customHeight="1">
      <c r="B7" s="10" t="s">
        <v>139</v>
      </c>
      <c r="C7" s="10" t="s">
        <v>0</v>
      </c>
      <c r="D7" s="10" t="s">
        <v>334</v>
      </c>
      <c r="E7" s="10" t="s">
        <v>4</v>
      </c>
      <c r="F7" s="10" t="s">
        <v>5</v>
      </c>
      <c r="G7" s="17" t="s">
        <v>679</v>
      </c>
      <c r="H7" s="17" t="s">
        <v>557</v>
      </c>
      <c r="I7" s="17" t="s">
        <v>483</v>
      </c>
      <c r="J7" s="17" t="s">
        <v>481</v>
      </c>
      <c r="K7" s="17" t="s">
        <v>482</v>
      </c>
      <c r="L7" s="17" t="s">
        <v>938</v>
      </c>
      <c r="M7" s="17" t="s">
        <v>486</v>
      </c>
      <c r="N7" s="17" t="s">
        <v>484</v>
      </c>
      <c r="O7" s="17" t="s">
        <v>485</v>
      </c>
      <c r="P7" s="17" t="s">
        <v>938</v>
      </c>
      <c r="Q7" s="10" t="s">
        <v>6</v>
      </c>
    </row>
    <row r="8" spans="2:20" ht="75" customHeight="1">
      <c r="B8" s="68" t="s">
        <v>687</v>
      </c>
      <c r="C8" s="69" t="s">
        <v>8</v>
      </c>
      <c r="D8" s="70" t="s">
        <v>688</v>
      </c>
      <c r="E8" s="71" t="s">
        <v>689</v>
      </c>
      <c r="F8" s="1" t="s">
        <v>1</v>
      </c>
      <c r="G8" s="1" t="s">
        <v>289</v>
      </c>
      <c r="H8" s="1" t="s">
        <v>937</v>
      </c>
      <c r="I8" s="12">
        <v>0.70130000000000003</v>
      </c>
      <c r="J8" s="12">
        <v>0.64810000000000001</v>
      </c>
      <c r="K8" s="12">
        <v>0.5595</v>
      </c>
      <c r="L8" s="12">
        <v>0.4</v>
      </c>
      <c r="M8" s="12">
        <v>0.53720000000000001</v>
      </c>
      <c r="N8" s="12">
        <v>0.48920000000000002</v>
      </c>
      <c r="O8" s="12">
        <v>0.40910000000000002</v>
      </c>
      <c r="P8" s="12">
        <v>0.26500000000000001</v>
      </c>
      <c r="Q8" s="2">
        <v>0.21</v>
      </c>
      <c r="T8" s="65"/>
    </row>
    <row r="9" spans="2:20" ht="45">
      <c r="B9" s="68" t="s">
        <v>690</v>
      </c>
      <c r="C9" s="69" t="s">
        <v>9</v>
      </c>
      <c r="D9" s="70">
        <v>3917</v>
      </c>
      <c r="E9" s="71" t="s">
        <v>691</v>
      </c>
      <c r="F9" s="1" t="s">
        <v>1</v>
      </c>
      <c r="G9" s="1" t="s">
        <v>289</v>
      </c>
      <c r="H9" s="1" t="s">
        <v>937</v>
      </c>
      <c r="I9" s="12">
        <v>0.70130000000000003</v>
      </c>
      <c r="J9" s="12">
        <v>0.64810000000000001</v>
      </c>
      <c r="K9" s="12">
        <v>0.5595</v>
      </c>
      <c r="L9" s="12">
        <v>0.4</v>
      </c>
      <c r="M9" s="12">
        <v>0.53720000000000001</v>
      </c>
      <c r="N9" s="12">
        <v>0.48920000000000002</v>
      </c>
      <c r="O9" s="12">
        <v>0.40910000000000002</v>
      </c>
      <c r="P9" s="12">
        <v>0.36559999999999998</v>
      </c>
      <c r="Q9" s="2">
        <v>0.21</v>
      </c>
    </row>
    <row r="10" spans="2:20" ht="33.75">
      <c r="B10" s="68" t="s">
        <v>692</v>
      </c>
      <c r="C10" s="69" t="s">
        <v>10</v>
      </c>
      <c r="D10" s="70" t="s">
        <v>386</v>
      </c>
      <c r="E10" s="71" t="s">
        <v>693</v>
      </c>
      <c r="F10" s="1" t="s">
        <v>1</v>
      </c>
      <c r="G10" s="1" t="s">
        <v>289</v>
      </c>
      <c r="H10" s="1" t="s">
        <v>937</v>
      </c>
      <c r="I10" s="12">
        <v>0.70130000000000003</v>
      </c>
      <c r="J10" s="12">
        <v>0.64810000000000001</v>
      </c>
      <c r="K10" s="12">
        <v>0.5595</v>
      </c>
      <c r="L10" s="12">
        <v>0.4</v>
      </c>
      <c r="M10" s="12">
        <v>0.53720000000000001</v>
      </c>
      <c r="N10" s="12">
        <v>0.48920000000000002</v>
      </c>
      <c r="O10" s="12">
        <v>0.40910000000000002</v>
      </c>
      <c r="P10" s="12">
        <v>0.36559999999999998</v>
      </c>
      <c r="Q10" s="2">
        <v>0.21</v>
      </c>
    </row>
    <row r="11" spans="2:20" ht="33.75">
      <c r="B11" s="68" t="s">
        <v>694</v>
      </c>
      <c r="C11" s="69" t="s">
        <v>11</v>
      </c>
      <c r="D11" s="70" t="s">
        <v>327</v>
      </c>
      <c r="E11" s="71" t="s">
        <v>695</v>
      </c>
      <c r="F11" s="1" t="s">
        <v>1</v>
      </c>
      <c r="G11" s="1" t="s">
        <v>289</v>
      </c>
      <c r="H11" s="1" t="s">
        <v>937</v>
      </c>
      <c r="I11" s="12">
        <v>0.70130000000000003</v>
      </c>
      <c r="J11" s="12">
        <v>0.64810000000000001</v>
      </c>
      <c r="K11" s="12">
        <v>0.5595</v>
      </c>
      <c r="L11" s="12">
        <v>0.4</v>
      </c>
      <c r="M11" s="12">
        <v>0.53720000000000001</v>
      </c>
      <c r="N11" s="12">
        <v>0.48920000000000002</v>
      </c>
      <c r="O11" s="12">
        <v>0.40910000000000002</v>
      </c>
      <c r="P11" s="12">
        <v>0.36559999999999998</v>
      </c>
      <c r="Q11" s="2">
        <v>0.21</v>
      </c>
    </row>
    <row r="12" spans="2:20" ht="33.75">
      <c r="B12" s="68" t="s">
        <v>696</v>
      </c>
      <c r="C12" s="69" t="s">
        <v>12</v>
      </c>
      <c r="D12" s="70" t="s">
        <v>387</v>
      </c>
      <c r="E12" s="71" t="s">
        <v>697</v>
      </c>
      <c r="F12" s="1" t="s">
        <v>1</v>
      </c>
      <c r="G12" s="1" t="s">
        <v>289</v>
      </c>
      <c r="H12" s="1" t="s">
        <v>937</v>
      </c>
      <c r="I12" s="12">
        <v>0.70130000000000003</v>
      </c>
      <c r="J12" s="12">
        <v>0.64810000000000001</v>
      </c>
      <c r="K12" s="12">
        <v>0.5595</v>
      </c>
      <c r="L12" s="12">
        <v>0.4</v>
      </c>
      <c r="M12" s="12">
        <v>0.53720000000000001</v>
      </c>
      <c r="N12" s="12">
        <v>0.48920000000000002</v>
      </c>
      <c r="O12" s="12">
        <v>0.40910000000000002</v>
      </c>
      <c r="P12" s="12">
        <v>0.36559999999999998</v>
      </c>
      <c r="Q12" s="2">
        <v>0.21</v>
      </c>
    </row>
    <row r="13" spans="2:20" ht="105">
      <c r="B13" s="68" t="s">
        <v>698</v>
      </c>
      <c r="C13" s="69" t="s">
        <v>13</v>
      </c>
      <c r="D13" s="70" t="s">
        <v>699</v>
      </c>
      <c r="E13" s="71" t="s">
        <v>700</v>
      </c>
      <c r="F13" s="1" t="s">
        <v>1</v>
      </c>
      <c r="G13" s="1" t="s">
        <v>289</v>
      </c>
      <c r="H13" s="1" t="s">
        <v>937</v>
      </c>
      <c r="I13" s="12">
        <v>0.70130000000000003</v>
      </c>
      <c r="J13" s="12">
        <v>0.64810000000000001</v>
      </c>
      <c r="K13" s="12">
        <v>0.5595</v>
      </c>
      <c r="L13" s="12">
        <v>0.4</v>
      </c>
      <c r="M13" s="12">
        <v>0.53720000000000001</v>
      </c>
      <c r="N13" s="12">
        <v>0.48920000000000002</v>
      </c>
      <c r="O13" s="12">
        <v>0.40910000000000002</v>
      </c>
      <c r="P13" s="12">
        <v>0.36559999999999998</v>
      </c>
      <c r="Q13" s="2">
        <v>0.21</v>
      </c>
    </row>
    <row r="14" spans="2:20" ht="45">
      <c r="B14" s="68" t="s">
        <v>701</v>
      </c>
      <c r="C14" s="69" t="s">
        <v>14</v>
      </c>
      <c r="D14" s="70" t="s">
        <v>702</v>
      </c>
      <c r="E14" s="71" t="s">
        <v>703</v>
      </c>
      <c r="F14" s="1" t="s">
        <v>1</v>
      </c>
      <c r="G14" s="1" t="s">
        <v>289</v>
      </c>
      <c r="H14" s="1" t="s">
        <v>937</v>
      </c>
      <c r="I14" s="12">
        <v>0.70130000000000003</v>
      </c>
      <c r="J14" s="12">
        <v>0.64810000000000001</v>
      </c>
      <c r="K14" s="12">
        <v>0.5595</v>
      </c>
      <c r="L14" s="12">
        <v>0.4</v>
      </c>
      <c r="M14" s="12">
        <v>0.53720000000000001</v>
      </c>
      <c r="N14" s="12">
        <v>0.48920000000000002</v>
      </c>
      <c r="O14" s="12">
        <v>0.40910000000000002</v>
      </c>
      <c r="P14" s="12">
        <v>0.36559999999999998</v>
      </c>
      <c r="Q14" s="2">
        <v>0.21</v>
      </c>
    </row>
    <row r="15" spans="2:20" ht="45">
      <c r="B15" s="68" t="s">
        <v>704</v>
      </c>
      <c r="C15" s="69" t="s">
        <v>15</v>
      </c>
      <c r="D15" s="70" t="s">
        <v>388</v>
      </c>
      <c r="E15" s="71" t="s">
        <v>705</v>
      </c>
      <c r="F15" s="1" t="s">
        <v>1</v>
      </c>
      <c r="G15" s="1" t="s">
        <v>289</v>
      </c>
      <c r="H15" s="1" t="s">
        <v>937</v>
      </c>
      <c r="I15" s="12">
        <v>0.70130000000000003</v>
      </c>
      <c r="J15" s="12">
        <v>0.64810000000000001</v>
      </c>
      <c r="K15" s="12">
        <v>0.5595</v>
      </c>
      <c r="L15" s="12">
        <v>0.4</v>
      </c>
      <c r="M15" s="12">
        <v>0.53720000000000001</v>
      </c>
      <c r="N15" s="12">
        <v>0.48920000000000002</v>
      </c>
      <c r="O15" s="12">
        <v>0.40910000000000002</v>
      </c>
      <c r="P15" s="12">
        <v>0.36559999999999998</v>
      </c>
      <c r="Q15" s="2">
        <v>0.21</v>
      </c>
    </row>
    <row r="16" spans="2:20" ht="45">
      <c r="B16" s="68" t="s">
        <v>706</v>
      </c>
      <c r="C16" s="69" t="s">
        <v>16</v>
      </c>
      <c r="D16" s="70" t="s">
        <v>707</v>
      </c>
      <c r="E16" s="71" t="s">
        <v>708</v>
      </c>
      <c r="F16" s="1" t="s">
        <v>1</v>
      </c>
      <c r="G16" s="1" t="s">
        <v>289</v>
      </c>
      <c r="H16" s="1" t="s">
        <v>937</v>
      </c>
      <c r="I16" s="12">
        <v>0.70130000000000003</v>
      </c>
      <c r="J16" s="12">
        <v>0.64810000000000001</v>
      </c>
      <c r="K16" s="12">
        <v>0.5595</v>
      </c>
      <c r="L16" s="12">
        <v>0.4</v>
      </c>
      <c r="M16" s="12">
        <v>0.53720000000000001</v>
      </c>
      <c r="N16" s="12">
        <v>0.48920000000000002</v>
      </c>
      <c r="O16" s="12">
        <v>0.40910000000000002</v>
      </c>
      <c r="P16" s="12">
        <v>0.36559999999999998</v>
      </c>
      <c r="Q16" s="2">
        <v>0.21</v>
      </c>
    </row>
    <row r="17" spans="2:17" ht="45">
      <c r="B17" s="68" t="s">
        <v>709</v>
      </c>
      <c r="C17" s="69" t="s">
        <v>17</v>
      </c>
      <c r="D17" s="70" t="s">
        <v>389</v>
      </c>
      <c r="E17" s="71" t="s">
        <v>710</v>
      </c>
      <c r="F17" s="1" t="s">
        <v>1</v>
      </c>
      <c r="G17" s="1" t="s">
        <v>289</v>
      </c>
      <c r="H17" s="1" t="s">
        <v>937</v>
      </c>
      <c r="I17" s="12">
        <v>0.70130000000000003</v>
      </c>
      <c r="J17" s="12">
        <v>0.64810000000000001</v>
      </c>
      <c r="K17" s="12">
        <v>0.5595</v>
      </c>
      <c r="L17" s="12">
        <v>0.4</v>
      </c>
      <c r="M17" s="12">
        <v>0.53720000000000001</v>
      </c>
      <c r="N17" s="12">
        <v>0.48920000000000002</v>
      </c>
      <c r="O17" s="12">
        <v>0.40910000000000002</v>
      </c>
      <c r="P17" s="12">
        <v>0.36559999999999998</v>
      </c>
      <c r="Q17" s="2">
        <v>0.21</v>
      </c>
    </row>
    <row r="18" spans="2:17" ht="60">
      <c r="B18" s="68" t="s">
        <v>711</v>
      </c>
      <c r="C18" s="69" t="s">
        <v>18</v>
      </c>
      <c r="D18" s="70" t="s">
        <v>390</v>
      </c>
      <c r="E18" s="71" t="s">
        <v>712</v>
      </c>
      <c r="F18" s="1" t="s">
        <v>1</v>
      </c>
      <c r="G18" s="1" t="s">
        <v>289</v>
      </c>
      <c r="H18" s="1" t="s">
        <v>937</v>
      </c>
      <c r="I18" s="12">
        <v>0.70130000000000003</v>
      </c>
      <c r="J18" s="12">
        <v>0.64810000000000001</v>
      </c>
      <c r="K18" s="12">
        <v>0.5595</v>
      </c>
      <c r="L18" s="12">
        <v>0.4</v>
      </c>
      <c r="M18" s="12">
        <v>0.53720000000000001</v>
      </c>
      <c r="N18" s="12">
        <v>0.48920000000000002</v>
      </c>
      <c r="O18" s="12">
        <v>0.40910000000000002</v>
      </c>
      <c r="P18" s="12">
        <v>0.36559999999999998</v>
      </c>
      <c r="Q18" s="2">
        <v>0.21</v>
      </c>
    </row>
    <row r="19" spans="2:17" ht="33.75">
      <c r="B19" s="68" t="s">
        <v>713</v>
      </c>
      <c r="C19" s="69" t="s">
        <v>19</v>
      </c>
      <c r="D19" s="70" t="s">
        <v>391</v>
      </c>
      <c r="E19" s="71" t="s">
        <v>714</v>
      </c>
      <c r="F19" s="1" t="s">
        <v>1</v>
      </c>
      <c r="G19" s="1" t="s">
        <v>289</v>
      </c>
      <c r="H19" s="1" t="s">
        <v>937</v>
      </c>
      <c r="I19" s="12">
        <v>0.70130000000000003</v>
      </c>
      <c r="J19" s="12">
        <v>0.64810000000000001</v>
      </c>
      <c r="K19" s="12">
        <v>0.5595</v>
      </c>
      <c r="L19" s="12">
        <v>0.4</v>
      </c>
      <c r="M19" s="12">
        <v>0.53720000000000001</v>
      </c>
      <c r="N19" s="12">
        <v>0.48920000000000002</v>
      </c>
      <c r="O19" s="12">
        <v>0.40910000000000002</v>
      </c>
      <c r="P19" s="12">
        <v>0.36559999999999998</v>
      </c>
      <c r="Q19" s="2">
        <v>0.21</v>
      </c>
    </row>
    <row r="20" spans="2:17" ht="60">
      <c r="B20" s="68" t="s">
        <v>715</v>
      </c>
      <c r="C20" s="69" t="s">
        <v>20</v>
      </c>
      <c r="D20" s="70" t="s">
        <v>392</v>
      </c>
      <c r="E20" s="71" t="s">
        <v>716</v>
      </c>
      <c r="F20" s="1" t="s">
        <v>1</v>
      </c>
      <c r="G20" s="1" t="s">
        <v>289</v>
      </c>
      <c r="H20" s="1" t="s">
        <v>937</v>
      </c>
      <c r="I20" s="12">
        <v>0.70130000000000003</v>
      </c>
      <c r="J20" s="12">
        <v>0.64810000000000001</v>
      </c>
      <c r="K20" s="12">
        <v>0.5595</v>
      </c>
      <c r="L20" s="12">
        <v>0.4</v>
      </c>
      <c r="M20" s="12">
        <v>0.53720000000000001</v>
      </c>
      <c r="N20" s="12">
        <v>0.48920000000000002</v>
      </c>
      <c r="O20" s="12">
        <v>0.40910000000000002</v>
      </c>
      <c r="P20" s="12">
        <v>0.36559999999999998</v>
      </c>
      <c r="Q20" s="2">
        <v>0.21</v>
      </c>
    </row>
    <row r="21" spans="2:17" ht="150">
      <c r="B21" s="68" t="s">
        <v>717</v>
      </c>
      <c r="C21" s="69" t="s">
        <v>21</v>
      </c>
      <c r="D21" s="70">
        <v>6813</v>
      </c>
      <c r="E21" s="71" t="s">
        <v>718</v>
      </c>
      <c r="F21" s="1" t="s">
        <v>1</v>
      </c>
      <c r="G21" s="1" t="s">
        <v>289</v>
      </c>
      <c r="H21" s="1" t="s">
        <v>937</v>
      </c>
      <c r="I21" s="12">
        <v>0.70130000000000003</v>
      </c>
      <c r="J21" s="12">
        <v>0.64810000000000001</v>
      </c>
      <c r="K21" s="12">
        <v>0.5595</v>
      </c>
      <c r="L21" s="12">
        <v>0.4</v>
      </c>
      <c r="M21" s="12">
        <v>0.53720000000000001</v>
      </c>
      <c r="N21" s="12">
        <v>0.48920000000000002</v>
      </c>
      <c r="O21" s="12">
        <v>0.40910000000000002</v>
      </c>
      <c r="P21" s="12">
        <v>0.36559999999999998</v>
      </c>
      <c r="Q21" s="2">
        <v>0.21</v>
      </c>
    </row>
    <row r="22" spans="2:17" ht="45">
      <c r="B22" s="68" t="s">
        <v>719</v>
      </c>
      <c r="C22" s="69" t="s">
        <v>22</v>
      </c>
      <c r="D22" s="70" t="s">
        <v>720</v>
      </c>
      <c r="E22" s="71" t="s">
        <v>721</v>
      </c>
      <c r="F22" s="1" t="s">
        <v>1</v>
      </c>
      <c r="G22" s="1" t="s">
        <v>289</v>
      </c>
      <c r="H22" s="1" t="s">
        <v>937</v>
      </c>
      <c r="I22" s="12">
        <v>0.70130000000000003</v>
      </c>
      <c r="J22" s="12">
        <v>0.64810000000000001</v>
      </c>
      <c r="K22" s="12">
        <v>0.5595</v>
      </c>
      <c r="L22" s="12">
        <v>0.4</v>
      </c>
      <c r="M22" s="12">
        <v>0.53720000000000001</v>
      </c>
      <c r="N22" s="12">
        <v>0.48920000000000002</v>
      </c>
      <c r="O22" s="12">
        <v>0.40910000000000002</v>
      </c>
      <c r="P22" s="12">
        <v>0.36559999999999998</v>
      </c>
      <c r="Q22" s="2">
        <v>0.21</v>
      </c>
    </row>
    <row r="23" spans="2:17" ht="33.75">
      <c r="B23" s="68" t="s">
        <v>722</v>
      </c>
      <c r="C23" s="69" t="s">
        <v>23</v>
      </c>
      <c r="D23" s="70" t="s">
        <v>393</v>
      </c>
      <c r="E23" s="71" t="s">
        <v>723</v>
      </c>
      <c r="F23" s="1" t="s">
        <v>1</v>
      </c>
      <c r="G23" s="1" t="s">
        <v>289</v>
      </c>
      <c r="H23" s="1" t="s">
        <v>937</v>
      </c>
      <c r="I23" s="12">
        <v>0.70130000000000003</v>
      </c>
      <c r="J23" s="12">
        <v>0.64810000000000001</v>
      </c>
      <c r="K23" s="12">
        <v>0.5595</v>
      </c>
      <c r="L23" s="12">
        <v>0.4</v>
      </c>
      <c r="M23" s="12">
        <v>0.53720000000000001</v>
      </c>
      <c r="N23" s="12">
        <v>0.48920000000000002</v>
      </c>
      <c r="O23" s="12">
        <v>0.40910000000000002</v>
      </c>
      <c r="P23" s="12">
        <v>0.36559999999999998</v>
      </c>
      <c r="Q23" s="2">
        <v>0.21</v>
      </c>
    </row>
    <row r="24" spans="2:17" ht="33.75">
      <c r="B24" s="68" t="s">
        <v>724</v>
      </c>
      <c r="C24" s="69" t="s">
        <v>24</v>
      </c>
      <c r="D24" s="70" t="s">
        <v>394</v>
      </c>
      <c r="E24" s="71" t="s">
        <v>369</v>
      </c>
      <c r="F24" s="1" t="s">
        <v>1</v>
      </c>
      <c r="G24" s="1" t="s">
        <v>289</v>
      </c>
      <c r="H24" s="1" t="s">
        <v>937</v>
      </c>
      <c r="I24" s="12">
        <v>0.70130000000000003</v>
      </c>
      <c r="J24" s="12">
        <v>0.64810000000000001</v>
      </c>
      <c r="K24" s="12">
        <v>0.5595</v>
      </c>
      <c r="L24" s="12">
        <v>0.4</v>
      </c>
      <c r="M24" s="12">
        <v>0.53720000000000001</v>
      </c>
      <c r="N24" s="12">
        <v>0.48920000000000002</v>
      </c>
      <c r="O24" s="12">
        <v>0.40910000000000002</v>
      </c>
      <c r="P24" s="12">
        <v>0.36559999999999998</v>
      </c>
      <c r="Q24" s="2">
        <v>0.21</v>
      </c>
    </row>
    <row r="25" spans="2:17" ht="33.75">
      <c r="B25" s="68" t="s">
        <v>725</v>
      </c>
      <c r="C25" s="69" t="s">
        <v>25</v>
      </c>
      <c r="D25" s="70" t="s">
        <v>395</v>
      </c>
      <c r="E25" s="71" t="s">
        <v>726</v>
      </c>
      <c r="F25" s="1" t="s">
        <v>1</v>
      </c>
      <c r="G25" s="1" t="s">
        <v>289</v>
      </c>
      <c r="H25" s="1" t="s">
        <v>937</v>
      </c>
      <c r="I25" s="12">
        <v>0.70130000000000003</v>
      </c>
      <c r="J25" s="12">
        <v>0.64810000000000001</v>
      </c>
      <c r="K25" s="12">
        <v>0.5595</v>
      </c>
      <c r="L25" s="12">
        <v>0.4</v>
      </c>
      <c r="M25" s="12">
        <v>0.53720000000000001</v>
      </c>
      <c r="N25" s="12">
        <v>0.48920000000000002</v>
      </c>
      <c r="O25" s="12">
        <v>0.40910000000000002</v>
      </c>
      <c r="P25" s="12">
        <v>0.36559999999999998</v>
      </c>
      <c r="Q25" s="2">
        <v>0.21</v>
      </c>
    </row>
    <row r="26" spans="2:17" ht="60">
      <c r="B26" s="68" t="s">
        <v>727</v>
      </c>
      <c r="C26" s="69" t="s">
        <v>26</v>
      </c>
      <c r="D26" s="70" t="s">
        <v>395</v>
      </c>
      <c r="E26" s="71" t="s">
        <v>370</v>
      </c>
      <c r="F26" s="1" t="s">
        <v>1</v>
      </c>
      <c r="G26" s="1" t="s">
        <v>289</v>
      </c>
      <c r="H26" s="1" t="s">
        <v>937</v>
      </c>
      <c r="I26" s="12">
        <v>0.70130000000000003</v>
      </c>
      <c r="J26" s="12">
        <v>0.64810000000000001</v>
      </c>
      <c r="K26" s="12">
        <v>0.5595</v>
      </c>
      <c r="L26" s="12">
        <v>0.4</v>
      </c>
      <c r="M26" s="12">
        <v>0.53720000000000001</v>
      </c>
      <c r="N26" s="12">
        <v>0.48920000000000002</v>
      </c>
      <c r="O26" s="12">
        <v>0.40910000000000002</v>
      </c>
      <c r="P26" s="12">
        <v>0.36559999999999998</v>
      </c>
      <c r="Q26" s="2">
        <v>0.21</v>
      </c>
    </row>
    <row r="27" spans="2:17" ht="33.75">
      <c r="B27" s="68" t="s">
        <v>728</v>
      </c>
      <c r="C27" s="69" t="s">
        <v>27</v>
      </c>
      <c r="D27" s="70">
        <v>7320</v>
      </c>
      <c r="E27" s="71" t="s">
        <v>371</v>
      </c>
      <c r="F27" s="1" t="s">
        <v>1</v>
      </c>
      <c r="G27" s="1" t="s">
        <v>289</v>
      </c>
      <c r="H27" s="1" t="s">
        <v>937</v>
      </c>
      <c r="I27" s="12">
        <v>0.70130000000000003</v>
      </c>
      <c r="J27" s="12">
        <v>0.64810000000000001</v>
      </c>
      <c r="K27" s="12">
        <v>0.5595</v>
      </c>
      <c r="L27" s="12">
        <v>0.4</v>
      </c>
      <c r="M27" s="12">
        <v>0.53720000000000001</v>
      </c>
      <c r="N27" s="12">
        <v>0.48920000000000002</v>
      </c>
      <c r="O27" s="12">
        <v>0.40910000000000002</v>
      </c>
      <c r="P27" s="12">
        <v>0.36559999999999998</v>
      </c>
      <c r="Q27" s="2">
        <v>0.21</v>
      </c>
    </row>
    <row r="28" spans="2:17" ht="45">
      <c r="B28" s="68" t="s">
        <v>729</v>
      </c>
      <c r="C28" s="69" t="s">
        <v>730</v>
      </c>
      <c r="D28" s="70">
        <v>7325</v>
      </c>
      <c r="E28" s="71" t="s">
        <v>731</v>
      </c>
      <c r="F28" s="1" t="s">
        <v>1</v>
      </c>
      <c r="G28" s="1" t="s">
        <v>289</v>
      </c>
      <c r="H28" s="1" t="s">
        <v>937</v>
      </c>
      <c r="I28" s="12">
        <v>0.70130000000000003</v>
      </c>
      <c r="J28" s="12">
        <v>0.64810000000000001</v>
      </c>
      <c r="K28" s="12">
        <v>0.5595</v>
      </c>
      <c r="L28" s="12">
        <v>0.4</v>
      </c>
      <c r="M28" s="12">
        <v>0.53720000000000001</v>
      </c>
      <c r="N28" s="12">
        <v>0.48920000000000002</v>
      </c>
      <c r="O28" s="12">
        <v>0.40910000000000002</v>
      </c>
      <c r="P28" s="12">
        <v>0.36559999999999998</v>
      </c>
      <c r="Q28" s="2">
        <v>0.21</v>
      </c>
    </row>
    <row r="29" spans="2:17" ht="33.75">
      <c r="B29" s="68" t="s">
        <v>732</v>
      </c>
      <c r="C29" s="69" t="s">
        <v>28</v>
      </c>
      <c r="D29" s="70" t="s">
        <v>396</v>
      </c>
      <c r="E29" s="71" t="s">
        <v>733</v>
      </c>
      <c r="F29" s="1" t="s">
        <v>1</v>
      </c>
      <c r="G29" s="1" t="s">
        <v>289</v>
      </c>
      <c r="H29" s="1" t="s">
        <v>937</v>
      </c>
      <c r="I29" s="12">
        <v>0.70130000000000003</v>
      </c>
      <c r="J29" s="12">
        <v>0.64810000000000001</v>
      </c>
      <c r="K29" s="12">
        <v>0.5595</v>
      </c>
      <c r="L29" s="12">
        <v>0.4</v>
      </c>
      <c r="M29" s="12">
        <v>0.53720000000000001</v>
      </c>
      <c r="N29" s="12">
        <v>0.48920000000000002</v>
      </c>
      <c r="O29" s="12">
        <v>0.40910000000000002</v>
      </c>
      <c r="P29" s="12">
        <v>0.36559999999999998</v>
      </c>
      <c r="Q29" s="2">
        <v>0.21</v>
      </c>
    </row>
    <row r="30" spans="2:17" ht="33.75">
      <c r="B30" s="68" t="s">
        <v>314</v>
      </c>
      <c r="C30" s="69" t="s">
        <v>29</v>
      </c>
      <c r="D30" s="70" t="s">
        <v>397</v>
      </c>
      <c r="E30" s="71" t="s">
        <v>734</v>
      </c>
      <c r="F30" s="1" t="s">
        <v>1</v>
      </c>
      <c r="G30" s="1" t="s">
        <v>289</v>
      </c>
      <c r="H30" s="1" t="s">
        <v>937</v>
      </c>
      <c r="I30" s="12">
        <v>0.70130000000000003</v>
      </c>
      <c r="J30" s="12">
        <v>0.64810000000000001</v>
      </c>
      <c r="K30" s="12">
        <v>0.5595</v>
      </c>
      <c r="L30" s="12">
        <v>0.4</v>
      </c>
      <c r="M30" s="12">
        <v>0.53720000000000001</v>
      </c>
      <c r="N30" s="12">
        <v>0.48920000000000002</v>
      </c>
      <c r="O30" s="12">
        <v>0.40910000000000002</v>
      </c>
      <c r="P30" s="12">
        <v>0.36559999999999998</v>
      </c>
      <c r="Q30" s="2">
        <v>0.21</v>
      </c>
    </row>
    <row r="31" spans="2:17" ht="33.75">
      <c r="B31" s="68" t="s">
        <v>315</v>
      </c>
      <c r="C31" s="69" t="s">
        <v>30</v>
      </c>
      <c r="D31" s="70" t="s">
        <v>735</v>
      </c>
      <c r="E31" s="71" t="s">
        <v>736</v>
      </c>
      <c r="F31" s="1" t="s">
        <v>1</v>
      </c>
      <c r="G31" s="1" t="s">
        <v>289</v>
      </c>
      <c r="H31" s="1" t="s">
        <v>937</v>
      </c>
      <c r="I31" s="12">
        <v>0.70130000000000003</v>
      </c>
      <c r="J31" s="12">
        <v>0.64810000000000001</v>
      </c>
      <c r="K31" s="12">
        <v>0.5595</v>
      </c>
      <c r="L31" s="12">
        <v>0.4</v>
      </c>
      <c r="M31" s="12">
        <v>0.53720000000000001</v>
      </c>
      <c r="N31" s="12">
        <v>0.48920000000000002</v>
      </c>
      <c r="O31" s="12">
        <v>0.40910000000000002</v>
      </c>
      <c r="P31" s="12">
        <v>0.36559999999999998</v>
      </c>
      <c r="Q31" s="2">
        <v>0.21</v>
      </c>
    </row>
    <row r="32" spans="2:17" ht="33.75">
      <c r="B32" s="68" t="s">
        <v>316</v>
      </c>
      <c r="C32" s="69" t="s">
        <v>31</v>
      </c>
      <c r="D32" s="70" t="s">
        <v>398</v>
      </c>
      <c r="E32" s="71" t="s">
        <v>737</v>
      </c>
      <c r="F32" s="1" t="s">
        <v>1</v>
      </c>
      <c r="G32" s="1" t="s">
        <v>289</v>
      </c>
      <c r="H32" s="1" t="s">
        <v>937</v>
      </c>
      <c r="I32" s="12">
        <v>0.70130000000000003</v>
      </c>
      <c r="J32" s="12">
        <v>0.64810000000000001</v>
      </c>
      <c r="K32" s="12">
        <v>0.5595</v>
      </c>
      <c r="L32" s="12">
        <v>0.4</v>
      </c>
      <c r="M32" s="12">
        <v>0.53720000000000001</v>
      </c>
      <c r="N32" s="12">
        <v>0.48920000000000002</v>
      </c>
      <c r="O32" s="12">
        <v>0.40910000000000002</v>
      </c>
      <c r="P32" s="12">
        <v>0.36559999999999998</v>
      </c>
      <c r="Q32" s="2">
        <v>0.21</v>
      </c>
    </row>
    <row r="33" spans="2:17" ht="45">
      <c r="B33" s="68" t="s">
        <v>738</v>
      </c>
      <c r="C33" s="69" t="s">
        <v>32</v>
      </c>
      <c r="D33" s="70" t="s">
        <v>739</v>
      </c>
      <c r="E33" s="71" t="s">
        <v>740</v>
      </c>
      <c r="F33" s="1" t="s">
        <v>1</v>
      </c>
      <c r="G33" s="1" t="s">
        <v>289</v>
      </c>
      <c r="H33" s="1" t="s">
        <v>937</v>
      </c>
      <c r="I33" s="12">
        <v>0.70130000000000003</v>
      </c>
      <c r="J33" s="12">
        <v>0.64810000000000001</v>
      </c>
      <c r="K33" s="12">
        <v>0.5595</v>
      </c>
      <c r="L33" s="12">
        <v>0.4</v>
      </c>
      <c r="M33" s="12">
        <v>0.53720000000000001</v>
      </c>
      <c r="N33" s="12">
        <v>0.48920000000000002</v>
      </c>
      <c r="O33" s="12">
        <v>0.40910000000000002</v>
      </c>
      <c r="P33" s="12">
        <v>0.36559999999999998</v>
      </c>
      <c r="Q33" s="2">
        <v>0.21</v>
      </c>
    </row>
    <row r="34" spans="2:17" ht="33.75">
      <c r="B34" s="68" t="s">
        <v>741</v>
      </c>
      <c r="C34" s="69" t="s">
        <v>33</v>
      </c>
      <c r="D34" s="70" t="s">
        <v>399</v>
      </c>
      <c r="E34" s="71" t="s">
        <v>742</v>
      </c>
      <c r="F34" s="1" t="s">
        <v>1</v>
      </c>
      <c r="G34" s="1" t="s">
        <v>289</v>
      </c>
      <c r="H34" s="1" t="s">
        <v>937</v>
      </c>
      <c r="I34" s="12">
        <v>0.70130000000000003</v>
      </c>
      <c r="J34" s="12">
        <v>0.64810000000000001</v>
      </c>
      <c r="K34" s="12">
        <v>0.5595</v>
      </c>
      <c r="L34" s="12">
        <v>0.4</v>
      </c>
      <c r="M34" s="12">
        <v>0.53720000000000001</v>
      </c>
      <c r="N34" s="12">
        <v>0.48920000000000002</v>
      </c>
      <c r="O34" s="12">
        <v>0.40910000000000002</v>
      </c>
      <c r="P34" s="12">
        <v>0.36559999999999998</v>
      </c>
      <c r="Q34" s="2">
        <v>0.21</v>
      </c>
    </row>
    <row r="35" spans="2:17" ht="45">
      <c r="B35" s="68" t="s">
        <v>743</v>
      </c>
      <c r="C35" s="69" t="s">
        <v>34</v>
      </c>
      <c r="D35" s="70" t="s">
        <v>400</v>
      </c>
      <c r="E35" s="71" t="s">
        <v>744</v>
      </c>
      <c r="F35" s="1" t="s">
        <v>1</v>
      </c>
      <c r="G35" s="1" t="s">
        <v>289</v>
      </c>
      <c r="H35" s="1" t="s">
        <v>937</v>
      </c>
      <c r="I35" s="12">
        <v>0.70130000000000003</v>
      </c>
      <c r="J35" s="12">
        <v>0.64810000000000001</v>
      </c>
      <c r="K35" s="12">
        <v>0.5595</v>
      </c>
      <c r="L35" s="12">
        <v>0.4</v>
      </c>
      <c r="M35" s="12">
        <v>0.53720000000000001</v>
      </c>
      <c r="N35" s="12">
        <v>0.48920000000000002</v>
      </c>
      <c r="O35" s="12">
        <v>0.40910000000000002</v>
      </c>
      <c r="P35" s="12">
        <v>0.36559999999999998</v>
      </c>
      <c r="Q35" s="2">
        <v>0.21</v>
      </c>
    </row>
    <row r="36" spans="2:17" ht="33.75">
      <c r="B36" s="68" t="s">
        <v>745</v>
      </c>
      <c r="C36" s="69" t="s">
        <v>35</v>
      </c>
      <c r="D36" s="70" t="s">
        <v>401</v>
      </c>
      <c r="E36" s="71" t="s">
        <v>746</v>
      </c>
      <c r="F36" s="1" t="s">
        <v>1</v>
      </c>
      <c r="G36" s="1" t="s">
        <v>289</v>
      </c>
      <c r="H36" s="1" t="s">
        <v>937</v>
      </c>
      <c r="I36" s="12">
        <v>0.70130000000000003</v>
      </c>
      <c r="J36" s="12">
        <v>0.64810000000000001</v>
      </c>
      <c r="K36" s="12">
        <v>0.5595</v>
      </c>
      <c r="L36" s="12">
        <v>0.4</v>
      </c>
      <c r="M36" s="12">
        <v>0.53720000000000001</v>
      </c>
      <c r="N36" s="12">
        <v>0.48920000000000002</v>
      </c>
      <c r="O36" s="12">
        <v>0.40910000000000002</v>
      </c>
      <c r="P36" s="12">
        <v>0.36559999999999998</v>
      </c>
      <c r="Q36" s="2">
        <v>0.21</v>
      </c>
    </row>
    <row r="37" spans="2:17" ht="60">
      <c r="B37" s="68" t="s">
        <v>747</v>
      </c>
      <c r="C37" s="69" t="s">
        <v>36</v>
      </c>
      <c r="D37" s="70" t="s">
        <v>402</v>
      </c>
      <c r="E37" s="71" t="s">
        <v>748</v>
      </c>
      <c r="F37" s="1" t="s">
        <v>1</v>
      </c>
      <c r="G37" s="1" t="s">
        <v>289</v>
      </c>
      <c r="H37" s="1" t="s">
        <v>937</v>
      </c>
      <c r="I37" s="12">
        <v>0.70130000000000003</v>
      </c>
      <c r="J37" s="12">
        <v>0.64810000000000001</v>
      </c>
      <c r="K37" s="12">
        <v>0.5595</v>
      </c>
      <c r="L37" s="12">
        <v>0.4</v>
      </c>
      <c r="M37" s="12">
        <v>0.53720000000000001</v>
      </c>
      <c r="N37" s="12">
        <v>0.48920000000000002</v>
      </c>
      <c r="O37" s="12">
        <v>0.40910000000000002</v>
      </c>
      <c r="P37" s="12">
        <v>0.36559999999999998</v>
      </c>
      <c r="Q37" s="2">
        <v>0.21</v>
      </c>
    </row>
    <row r="38" spans="2:17" ht="33.75">
      <c r="B38" s="68" t="s">
        <v>749</v>
      </c>
      <c r="C38" s="69" t="s">
        <v>37</v>
      </c>
      <c r="D38" s="70" t="s">
        <v>403</v>
      </c>
      <c r="E38" s="71" t="s">
        <v>372</v>
      </c>
      <c r="F38" s="1" t="s">
        <v>1</v>
      </c>
      <c r="G38" s="1" t="s">
        <v>289</v>
      </c>
      <c r="H38" s="1" t="s">
        <v>937</v>
      </c>
      <c r="I38" s="12">
        <v>0.70130000000000003</v>
      </c>
      <c r="J38" s="12">
        <v>0.64810000000000001</v>
      </c>
      <c r="K38" s="12">
        <v>0.5595</v>
      </c>
      <c r="L38" s="12">
        <v>0.4</v>
      </c>
      <c r="M38" s="12">
        <v>0.53720000000000001</v>
      </c>
      <c r="N38" s="12">
        <v>0.48920000000000002</v>
      </c>
      <c r="O38" s="12">
        <v>0.40910000000000002</v>
      </c>
      <c r="P38" s="12">
        <v>0.36559999999999998</v>
      </c>
      <c r="Q38" s="2">
        <v>0.21</v>
      </c>
    </row>
    <row r="39" spans="2:17" ht="75">
      <c r="B39" s="68" t="s">
        <v>750</v>
      </c>
      <c r="C39" s="69" t="s">
        <v>38</v>
      </c>
      <c r="D39" s="70" t="s">
        <v>404</v>
      </c>
      <c r="E39" s="71" t="s">
        <v>751</v>
      </c>
      <c r="F39" s="1" t="s">
        <v>1</v>
      </c>
      <c r="G39" s="1" t="s">
        <v>289</v>
      </c>
      <c r="H39" s="1" t="s">
        <v>937</v>
      </c>
      <c r="I39" s="12">
        <v>0.70130000000000003</v>
      </c>
      <c r="J39" s="12">
        <v>0.64810000000000001</v>
      </c>
      <c r="K39" s="12">
        <v>0.5595</v>
      </c>
      <c r="L39" s="12">
        <v>0.4</v>
      </c>
      <c r="M39" s="12">
        <v>0.53720000000000001</v>
      </c>
      <c r="N39" s="12">
        <v>0.48920000000000002</v>
      </c>
      <c r="O39" s="12">
        <v>0.40910000000000002</v>
      </c>
      <c r="P39" s="12">
        <v>0.36559999999999998</v>
      </c>
      <c r="Q39" s="2">
        <v>0.21</v>
      </c>
    </row>
    <row r="40" spans="2:17" ht="33.75">
      <c r="B40" s="68" t="s">
        <v>752</v>
      </c>
      <c r="C40" s="69" t="s">
        <v>39</v>
      </c>
      <c r="D40" s="70" t="s">
        <v>405</v>
      </c>
      <c r="E40" s="71" t="s">
        <v>753</v>
      </c>
      <c r="F40" s="1" t="s">
        <v>1</v>
      </c>
      <c r="G40" s="1" t="s">
        <v>289</v>
      </c>
      <c r="H40" s="1" t="s">
        <v>937</v>
      </c>
      <c r="I40" s="12">
        <v>0.70130000000000003</v>
      </c>
      <c r="J40" s="12">
        <v>0.64810000000000001</v>
      </c>
      <c r="K40" s="12">
        <v>0.5595</v>
      </c>
      <c r="L40" s="12">
        <v>0.4</v>
      </c>
      <c r="M40" s="12">
        <v>0.53720000000000001</v>
      </c>
      <c r="N40" s="12">
        <v>0.48920000000000002</v>
      </c>
      <c r="O40" s="12">
        <v>0.40910000000000002</v>
      </c>
      <c r="P40" s="12">
        <v>0.36559999999999998</v>
      </c>
      <c r="Q40" s="2">
        <v>0.21</v>
      </c>
    </row>
    <row r="41" spans="2:17" ht="33.75">
      <c r="B41" s="68" t="s">
        <v>754</v>
      </c>
      <c r="C41" s="69" t="s">
        <v>40</v>
      </c>
      <c r="D41" s="70" t="s">
        <v>755</v>
      </c>
      <c r="E41" s="71" t="s">
        <v>756</v>
      </c>
      <c r="F41" s="1" t="s">
        <v>1</v>
      </c>
      <c r="G41" s="1" t="s">
        <v>289</v>
      </c>
      <c r="H41" s="1" t="s">
        <v>937</v>
      </c>
      <c r="I41" s="12">
        <v>0.70130000000000003</v>
      </c>
      <c r="J41" s="12">
        <v>0.64810000000000001</v>
      </c>
      <c r="K41" s="12">
        <v>0.5595</v>
      </c>
      <c r="L41" s="12">
        <v>0.4</v>
      </c>
      <c r="M41" s="12">
        <v>0.53720000000000001</v>
      </c>
      <c r="N41" s="12">
        <v>0.48920000000000002</v>
      </c>
      <c r="O41" s="12">
        <v>0.40910000000000002</v>
      </c>
      <c r="P41" s="12">
        <v>0.36559999999999998</v>
      </c>
      <c r="Q41" s="2">
        <v>0.21</v>
      </c>
    </row>
    <row r="42" spans="2:17" ht="60">
      <c r="B42" s="68" t="s">
        <v>757</v>
      </c>
      <c r="C42" s="69" t="s">
        <v>41</v>
      </c>
      <c r="D42" s="70" t="s">
        <v>758</v>
      </c>
      <c r="E42" s="72" t="s">
        <v>373</v>
      </c>
      <c r="F42" s="1" t="s">
        <v>1</v>
      </c>
      <c r="G42" s="1" t="s">
        <v>289</v>
      </c>
      <c r="H42" s="1" t="s">
        <v>937</v>
      </c>
      <c r="I42" s="12">
        <v>0.70130000000000003</v>
      </c>
      <c r="J42" s="12">
        <v>0.64810000000000001</v>
      </c>
      <c r="K42" s="12">
        <v>0.5595</v>
      </c>
      <c r="L42" s="12">
        <v>0.4</v>
      </c>
      <c r="M42" s="12">
        <v>0.53720000000000001</v>
      </c>
      <c r="N42" s="12">
        <v>0.48920000000000002</v>
      </c>
      <c r="O42" s="12">
        <v>0.40910000000000002</v>
      </c>
      <c r="P42" s="12">
        <v>0.36559999999999998</v>
      </c>
      <c r="Q42" s="2">
        <v>0.21</v>
      </c>
    </row>
    <row r="43" spans="2:17" ht="33.75">
      <c r="B43" s="68" t="s">
        <v>759</v>
      </c>
      <c r="C43" s="69" t="s">
        <v>42</v>
      </c>
      <c r="D43" s="70" t="s">
        <v>406</v>
      </c>
      <c r="E43" s="71" t="s">
        <v>760</v>
      </c>
      <c r="F43" s="1" t="s">
        <v>1</v>
      </c>
      <c r="G43" s="1" t="s">
        <v>289</v>
      </c>
      <c r="H43" s="1" t="s">
        <v>937</v>
      </c>
      <c r="I43" s="12">
        <v>0.70130000000000003</v>
      </c>
      <c r="J43" s="12">
        <v>0.64810000000000001</v>
      </c>
      <c r="K43" s="12">
        <v>0.5595</v>
      </c>
      <c r="L43" s="12">
        <v>0.4</v>
      </c>
      <c r="M43" s="12">
        <v>0.53720000000000001</v>
      </c>
      <c r="N43" s="12">
        <v>0.48920000000000002</v>
      </c>
      <c r="O43" s="12">
        <v>0.40910000000000002</v>
      </c>
      <c r="P43" s="12">
        <v>0.36559999999999998</v>
      </c>
      <c r="Q43" s="2">
        <v>0.21</v>
      </c>
    </row>
    <row r="44" spans="2:17" ht="45">
      <c r="B44" s="68" t="s">
        <v>761</v>
      </c>
      <c r="C44" s="69" t="s">
        <v>43</v>
      </c>
      <c r="D44" s="70" t="s">
        <v>762</v>
      </c>
      <c r="E44" s="71" t="s">
        <v>763</v>
      </c>
      <c r="F44" s="1" t="s">
        <v>1</v>
      </c>
      <c r="G44" s="1" t="s">
        <v>289</v>
      </c>
      <c r="H44" s="1" t="s">
        <v>937</v>
      </c>
      <c r="I44" s="12">
        <v>0.70130000000000003</v>
      </c>
      <c r="J44" s="12">
        <v>0.64810000000000001</v>
      </c>
      <c r="K44" s="12">
        <v>0.5595</v>
      </c>
      <c r="L44" s="12">
        <v>0.4</v>
      </c>
      <c r="M44" s="12">
        <v>0.53720000000000001</v>
      </c>
      <c r="N44" s="12">
        <v>0.48920000000000002</v>
      </c>
      <c r="O44" s="12">
        <v>0.40910000000000002</v>
      </c>
      <c r="P44" s="12">
        <v>0.36559999999999998</v>
      </c>
      <c r="Q44" s="2">
        <v>0.21</v>
      </c>
    </row>
    <row r="45" spans="2:17" ht="33.75">
      <c r="B45" s="68" t="s">
        <v>764</v>
      </c>
      <c r="C45" s="69" t="s">
        <v>44</v>
      </c>
      <c r="D45" s="70" t="s">
        <v>407</v>
      </c>
      <c r="E45" s="71" t="s">
        <v>765</v>
      </c>
      <c r="F45" s="1" t="s">
        <v>1</v>
      </c>
      <c r="G45" s="1" t="s">
        <v>289</v>
      </c>
      <c r="H45" s="1" t="s">
        <v>937</v>
      </c>
      <c r="I45" s="12">
        <v>0.70130000000000003</v>
      </c>
      <c r="J45" s="12">
        <v>0.64810000000000001</v>
      </c>
      <c r="K45" s="12">
        <v>0.5595</v>
      </c>
      <c r="L45" s="12">
        <v>0.4</v>
      </c>
      <c r="M45" s="12">
        <v>0.53720000000000001</v>
      </c>
      <c r="N45" s="12">
        <v>0.48920000000000002</v>
      </c>
      <c r="O45" s="12">
        <v>0.40910000000000002</v>
      </c>
      <c r="P45" s="12">
        <v>0.36559999999999998</v>
      </c>
      <c r="Q45" s="2">
        <v>0.21</v>
      </c>
    </row>
    <row r="46" spans="2:17" ht="33.75">
      <c r="B46" s="68" t="s">
        <v>317</v>
      </c>
      <c r="C46" s="69" t="s">
        <v>45</v>
      </c>
      <c r="D46" s="70" t="s">
        <v>336</v>
      </c>
      <c r="E46" s="71" t="s">
        <v>766</v>
      </c>
      <c r="F46" s="1" t="s">
        <v>1</v>
      </c>
      <c r="G46" s="1" t="s">
        <v>289</v>
      </c>
      <c r="H46" s="1" t="s">
        <v>937</v>
      </c>
      <c r="I46" s="12">
        <v>0.70130000000000003</v>
      </c>
      <c r="J46" s="12">
        <v>0.64810000000000001</v>
      </c>
      <c r="K46" s="12">
        <v>0.5595</v>
      </c>
      <c r="L46" s="12">
        <v>0.4</v>
      </c>
      <c r="M46" s="12">
        <v>0.53720000000000001</v>
      </c>
      <c r="N46" s="12">
        <v>0.48920000000000002</v>
      </c>
      <c r="O46" s="12">
        <v>0.40910000000000002</v>
      </c>
      <c r="P46" s="12">
        <v>0.36559999999999998</v>
      </c>
      <c r="Q46" s="2">
        <v>0.21</v>
      </c>
    </row>
    <row r="47" spans="2:17" ht="33.75">
      <c r="B47" s="68" t="s">
        <v>318</v>
      </c>
      <c r="C47" s="69" t="s">
        <v>46</v>
      </c>
      <c r="D47" s="70" t="s">
        <v>408</v>
      </c>
      <c r="E47" s="71" t="s">
        <v>767</v>
      </c>
      <c r="F47" s="1" t="s">
        <v>1</v>
      </c>
      <c r="G47" s="1" t="s">
        <v>289</v>
      </c>
      <c r="H47" s="1" t="s">
        <v>937</v>
      </c>
      <c r="I47" s="12">
        <v>0.70130000000000003</v>
      </c>
      <c r="J47" s="12">
        <v>0.64810000000000001</v>
      </c>
      <c r="K47" s="12">
        <v>0.5595</v>
      </c>
      <c r="L47" s="12">
        <v>0.4</v>
      </c>
      <c r="M47" s="12">
        <v>0.53720000000000001</v>
      </c>
      <c r="N47" s="12">
        <v>0.48920000000000002</v>
      </c>
      <c r="O47" s="12">
        <v>0.40910000000000002</v>
      </c>
      <c r="P47" s="12">
        <v>0.36559999999999998</v>
      </c>
      <c r="Q47" s="2">
        <v>0.21</v>
      </c>
    </row>
    <row r="48" spans="2:17" ht="45">
      <c r="B48" s="68" t="s">
        <v>768</v>
      </c>
      <c r="C48" s="69" t="s">
        <v>47</v>
      </c>
      <c r="D48" s="70" t="s">
        <v>409</v>
      </c>
      <c r="E48" s="71" t="s">
        <v>769</v>
      </c>
      <c r="F48" s="1" t="s">
        <v>1</v>
      </c>
      <c r="G48" s="1" t="s">
        <v>289</v>
      </c>
      <c r="H48" s="1" t="s">
        <v>937</v>
      </c>
      <c r="I48" s="12">
        <v>0.70130000000000003</v>
      </c>
      <c r="J48" s="12">
        <v>0.64810000000000001</v>
      </c>
      <c r="K48" s="12">
        <v>0.5595</v>
      </c>
      <c r="L48" s="12">
        <v>0.4</v>
      </c>
      <c r="M48" s="12">
        <v>0.53720000000000001</v>
      </c>
      <c r="N48" s="12">
        <v>0.48920000000000002</v>
      </c>
      <c r="O48" s="12">
        <v>0.40910000000000002</v>
      </c>
      <c r="P48" s="12">
        <v>0.36559999999999998</v>
      </c>
      <c r="Q48" s="2">
        <v>0.21</v>
      </c>
    </row>
    <row r="49" spans="2:17" ht="33.75">
      <c r="B49" s="68" t="s">
        <v>770</v>
      </c>
      <c r="C49" s="69" t="s">
        <v>48</v>
      </c>
      <c r="D49" s="70" t="s">
        <v>410</v>
      </c>
      <c r="E49" s="71" t="s">
        <v>771</v>
      </c>
      <c r="F49" s="1" t="s">
        <v>1</v>
      </c>
      <c r="G49" s="1" t="s">
        <v>289</v>
      </c>
      <c r="H49" s="1" t="s">
        <v>937</v>
      </c>
      <c r="I49" s="12">
        <v>0.70130000000000003</v>
      </c>
      <c r="J49" s="12">
        <v>0.64810000000000001</v>
      </c>
      <c r="K49" s="12">
        <v>0.5595</v>
      </c>
      <c r="L49" s="12">
        <v>0.4</v>
      </c>
      <c r="M49" s="12">
        <v>0.53720000000000001</v>
      </c>
      <c r="N49" s="12">
        <v>0.48920000000000002</v>
      </c>
      <c r="O49" s="12">
        <v>0.40910000000000002</v>
      </c>
      <c r="P49" s="12">
        <v>0.36559999999999998</v>
      </c>
      <c r="Q49" s="2">
        <v>0.21</v>
      </c>
    </row>
    <row r="50" spans="2:17" ht="33.75">
      <c r="B50" s="68" t="s">
        <v>772</v>
      </c>
      <c r="C50" s="69" t="s">
        <v>49</v>
      </c>
      <c r="D50" s="70" t="s">
        <v>411</v>
      </c>
      <c r="E50" s="71" t="s">
        <v>773</v>
      </c>
      <c r="F50" s="1" t="s">
        <v>1</v>
      </c>
      <c r="G50" s="1" t="s">
        <v>289</v>
      </c>
      <c r="H50" s="1" t="s">
        <v>937</v>
      </c>
      <c r="I50" s="12">
        <v>0.70130000000000003</v>
      </c>
      <c r="J50" s="12">
        <v>0.64810000000000001</v>
      </c>
      <c r="K50" s="12">
        <v>0.5595</v>
      </c>
      <c r="L50" s="12">
        <v>0.4</v>
      </c>
      <c r="M50" s="12">
        <v>0.53720000000000001</v>
      </c>
      <c r="N50" s="12">
        <v>0.48920000000000002</v>
      </c>
      <c r="O50" s="12">
        <v>0.40910000000000002</v>
      </c>
      <c r="P50" s="12">
        <v>0.36559999999999998</v>
      </c>
      <c r="Q50" s="2">
        <v>0.21</v>
      </c>
    </row>
    <row r="51" spans="2:17" ht="33.75">
      <c r="B51" s="68" t="s">
        <v>774</v>
      </c>
      <c r="C51" s="69" t="s">
        <v>50</v>
      </c>
      <c r="D51" s="70" t="s">
        <v>412</v>
      </c>
      <c r="E51" s="71" t="s">
        <v>374</v>
      </c>
      <c r="F51" s="1" t="s">
        <v>1</v>
      </c>
      <c r="G51" s="1" t="s">
        <v>289</v>
      </c>
      <c r="H51" s="1" t="s">
        <v>937</v>
      </c>
      <c r="I51" s="12">
        <v>0.70130000000000003</v>
      </c>
      <c r="J51" s="12">
        <v>0.64810000000000001</v>
      </c>
      <c r="K51" s="12">
        <v>0.5595</v>
      </c>
      <c r="L51" s="12">
        <v>0.4</v>
      </c>
      <c r="M51" s="12">
        <v>0.53720000000000001</v>
      </c>
      <c r="N51" s="12">
        <v>0.48920000000000002</v>
      </c>
      <c r="O51" s="12">
        <v>0.40910000000000002</v>
      </c>
      <c r="P51" s="12">
        <v>0.36559999999999998</v>
      </c>
      <c r="Q51" s="2">
        <v>0.21</v>
      </c>
    </row>
    <row r="52" spans="2:17" ht="60">
      <c r="B52" s="68" t="s">
        <v>775</v>
      </c>
      <c r="C52" s="69" t="s">
        <v>51</v>
      </c>
      <c r="D52" s="70" t="s">
        <v>413</v>
      </c>
      <c r="E52" s="71" t="s">
        <v>776</v>
      </c>
      <c r="F52" s="1" t="s">
        <v>1</v>
      </c>
      <c r="G52" s="1" t="s">
        <v>289</v>
      </c>
      <c r="H52" s="1" t="s">
        <v>937</v>
      </c>
      <c r="I52" s="12">
        <v>0.70130000000000003</v>
      </c>
      <c r="J52" s="12">
        <v>0.64810000000000001</v>
      </c>
      <c r="K52" s="12">
        <v>0.5595</v>
      </c>
      <c r="L52" s="12">
        <v>0.4</v>
      </c>
      <c r="M52" s="12">
        <v>0.53720000000000001</v>
      </c>
      <c r="N52" s="12">
        <v>0.48920000000000002</v>
      </c>
      <c r="O52" s="12">
        <v>0.40910000000000002</v>
      </c>
      <c r="P52" s="12">
        <v>0.36559999999999998</v>
      </c>
      <c r="Q52" s="2">
        <v>0.21</v>
      </c>
    </row>
    <row r="53" spans="2:17" ht="60">
      <c r="B53" s="68" t="s">
        <v>777</v>
      </c>
      <c r="C53" s="69" t="s">
        <v>52</v>
      </c>
      <c r="D53" s="70" t="s">
        <v>414</v>
      </c>
      <c r="E53" s="71" t="s">
        <v>375</v>
      </c>
      <c r="F53" s="1" t="s">
        <v>1</v>
      </c>
      <c r="G53" s="1" t="s">
        <v>289</v>
      </c>
      <c r="H53" s="1" t="s">
        <v>937</v>
      </c>
      <c r="I53" s="12">
        <v>0.70130000000000003</v>
      </c>
      <c r="J53" s="12">
        <v>0.64810000000000001</v>
      </c>
      <c r="K53" s="12">
        <v>0.5595</v>
      </c>
      <c r="L53" s="12">
        <v>0.4</v>
      </c>
      <c r="M53" s="12">
        <v>0.53720000000000001</v>
      </c>
      <c r="N53" s="12">
        <v>0.48920000000000002</v>
      </c>
      <c r="O53" s="12">
        <v>0.40910000000000002</v>
      </c>
      <c r="P53" s="12">
        <v>0.36559999999999998</v>
      </c>
      <c r="Q53" s="2">
        <v>0.21</v>
      </c>
    </row>
    <row r="54" spans="2:17" ht="33.75">
      <c r="B54" s="68" t="s">
        <v>778</v>
      </c>
      <c r="C54" s="69" t="s">
        <v>53</v>
      </c>
      <c r="D54" s="70" t="s">
        <v>415</v>
      </c>
      <c r="E54" s="71" t="s">
        <v>779</v>
      </c>
      <c r="F54" s="1" t="s">
        <v>1</v>
      </c>
      <c r="G54" s="1" t="s">
        <v>289</v>
      </c>
      <c r="H54" s="1" t="s">
        <v>937</v>
      </c>
      <c r="I54" s="12">
        <v>0.70130000000000003</v>
      </c>
      <c r="J54" s="12">
        <v>0.64810000000000001</v>
      </c>
      <c r="K54" s="12">
        <v>0.5595</v>
      </c>
      <c r="L54" s="12">
        <v>0.4</v>
      </c>
      <c r="M54" s="12">
        <v>0.53720000000000001</v>
      </c>
      <c r="N54" s="12">
        <v>0.48920000000000002</v>
      </c>
      <c r="O54" s="12">
        <v>0.40910000000000002</v>
      </c>
      <c r="P54" s="12">
        <v>0.36559999999999998</v>
      </c>
      <c r="Q54" s="2">
        <v>0.21</v>
      </c>
    </row>
    <row r="55" spans="2:17" ht="33.75">
      <c r="B55" s="68" t="s">
        <v>780</v>
      </c>
      <c r="C55" s="69" t="s">
        <v>54</v>
      </c>
      <c r="D55" s="70" t="s">
        <v>416</v>
      </c>
      <c r="E55" s="71" t="s">
        <v>781</v>
      </c>
      <c r="F55" s="1" t="s">
        <v>1</v>
      </c>
      <c r="G55" s="1" t="s">
        <v>289</v>
      </c>
      <c r="H55" s="1" t="s">
        <v>937</v>
      </c>
      <c r="I55" s="12">
        <v>0.70130000000000003</v>
      </c>
      <c r="J55" s="12">
        <v>0.64810000000000001</v>
      </c>
      <c r="K55" s="12">
        <v>0.5595</v>
      </c>
      <c r="L55" s="12">
        <v>0.4</v>
      </c>
      <c r="M55" s="12">
        <v>0.53720000000000001</v>
      </c>
      <c r="N55" s="12">
        <v>0.48920000000000002</v>
      </c>
      <c r="O55" s="12">
        <v>0.40910000000000002</v>
      </c>
      <c r="P55" s="12">
        <v>0.36559999999999998</v>
      </c>
      <c r="Q55" s="2">
        <v>0.21</v>
      </c>
    </row>
    <row r="56" spans="2:17" ht="33.75">
      <c r="B56" s="68" t="s">
        <v>319</v>
      </c>
      <c r="C56" s="69" t="s">
        <v>55</v>
      </c>
      <c r="D56" s="70" t="s">
        <v>417</v>
      </c>
      <c r="E56" s="71" t="s">
        <v>782</v>
      </c>
      <c r="F56" s="1" t="s">
        <v>1</v>
      </c>
      <c r="G56" s="1" t="s">
        <v>289</v>
      </c>
      <c r="H56" s="1" t="s">
        <v>937</v>
      </c>
      <c r="I56" s="12">
        <v>0.70130000000000003</v>
      </c>
      <c r="J56" s="12">
        <v>0.64810000000000001</v>
      </c>
      <c r="K56" s="12">
        <v>0.5595</v>
      </c>
      <c r="L56" s="12">
        <v>0.4</v>
      </c>
      <c r="M56" s="12">
        <v>0.53720000000000001</v>
      </c>
      <c r="N56" s="12">
        <v>0.48920000000000002</v>
      </c>
      <c r="O56" s="12">
        <v>0.40910000000000002</v>
      </c>
      <c r="P56" s="12">
        <v>0.36559999999999998</v>
      </c>
      <c r="Q56" s="2">
        <v>0.21</v>
      </c>
    </row>
    <row r="57" spans="2:17" ht="33.75">
      <c r="B57" s="68" t="s">
        <v>320</v>
      </c>
      <c r="C57" s="69" t="s">
        <v>56</v>
      </c>
      <c r="D57" s="70">
        <v>8482</v>
      </c>
      <c r="E57" s="71" t="s">
        <v>783</v>
      </c>
      <c r="F57" s="1" t="s">
        <v>1</v>
      </c>
      <c r="G57" s="1" t="s">
        <v>289</v>
      </c>
      <c r="H57" s="1" t="s">
        <v>937</v>
      </c>
      <c r="I57" s="12">
        <v>0.70130000000000003</v>
      </c>
      <c r="J57" s="12">
        <v>0.64810000000000001</v>
      </c>
      <c r="K57" s="12">
        <v>0.5595</v>
      </c>
      <c r="L57" s="12">
        <v>0.4</v>
      </c>
      <c r="M57" s="12">
        <v>0.53720000000000001</v>
      </c>
      <c r="N57" s="12">
        <v>0.48920000000000002</v>
      </c>
      <c r="O57" s="12">
        <v>0.40910000000000002</v>
      </c>
      <c r="P57" s="12">
        <v>0.36559999999999998</v>
      </c>
      <c r="Q57" s="2">
        <v>0.21</v>
      </c>
    </row>
    <row r="58" spans="2:17" ht="210">
      <c r="B58" s="68" t="s">
        <v>321</v>
      </c>
      <c r="C58" s="69" t="s">
        <v>57</v>
      </c>
      <c r="D58" s="70">
        <v>8483</v>
      </c>
      <c r="E58" s="71" t="s">
        <v>784</v>
      </c>
      <c r="F58" s="1" t="s">
        <v>1</v>
      </c>
      <c r="G58" s="1" t="s">
        <v>289</v>
      </c>
      <c r="H58" s="1" t="s">
        <v>937</v>
      </c>
      <c r="I58" s="12">
        <v>0.70130000000000003</v>
      </c>
      <c r="J58" s="12">
        <v>0.64810000000000001</v>
      </c>
      <c r="K58" s="12">
        <v>0.5595</v>
      </c>
      <c r="L58" s="12">
        <v>0.4</v>
      </c>
      <c r="M58" s="12">
        <v>0.53720000000000001</v>
      </c>
      <c r="N58" s="12">
        <v>0.48920000000000002</v>
      </c>
      <c r="O58" s="12">
        <v>0.40910000000000002</v>
      </c>
      <c r="P58" s="12">
        <v>0.36559999999999998</v>
      </c>
      <c r="Q58" s="2">
        <v>0.21</v>
      </c>
    </row>
    <row r="59" spans="2:17" ht="105">
      <c r="B59" s="68" t="s">
        <v>322</v>
      </c>
      <c r="C59" s="69" t="s">
        <v>58</v>
      </c>
      <c r="D59" s="70">
        <v>8484</v>
      </c>
      <c r="E59" s="71" t="s">
        <v>785</v>
      </c>
      <c r="F59" s="1" t="s">
        <v>1</v>
      </c>
      <c r="G59" s="1" t="s">
        <v>289</v>
      </c>
      <c r="H59" s="1" t="s">
        <v>937</v>
      </c>
      <c r="I59" s="12">
        <v>0.70130000000000003</v>
      </c>
      <c r="J59" s="12">
        <v>0.64810000000000001</v>
      </c>
      <c r="K59" s="12">
        <v>0.5595</v>
      </c>
      <c r="L59" s="12">
        <v>0.4</v>
      </c>
      <c r="M59" s="12">
        <v>0.53720000000000001</v>
      </c>
      <c r="N59" s="12">
        <v>0.48920000000000002</v>
      </c>
      <c r="O59" s="12">
        <v>0.40910000000000002</v>
      </c>
      <c r="P59" s="12">
        <v>0.36559999999999998</v>
      </c>
      <c r="Q59" s="2">
        <v>0.21</v>
      </c>
    </row>
    <row r="60" spans="2:17" ht="45">
      <c r="B60" s="68" t="s">
        <v>786</v>
      </c>
      <c r="C60" s="69" t="s">
        <v>59</v>
      </c>
      <c r="D60" s="70" t="s">
        <v>418</v>
      </c>
      <c r="E60" s="71" t="s">
        <v>787</v>
      </c>
      <c r="F60" s="1" t="s">
        <v>1</v>
      </c>
      <c r="G60" s="1" t="s">
        <v>289</v>
      </c>
      <c r="H60" s="1" t="s">
        <v>937</v>
      </c>
      <c r="I60" s="12">
        <v>0.70130000000000003</v>
      </c>
      <c r="J60" s="12">
        <v>0.64810000000000001</v>
      </c>
      <c r="K60" s="12">
        <v>0.5595</v>
      </c>
      <c r="L60" s="12">
        <v>0.4</v>
      </c>
      <c r="M60" s="12">
        <v>0.53720000000000001</v>
      </c>
      <c r="N60" s="12">
        <v>0.48920000000000002</v>
      </c>
      <c r="O60" s="12">
        <v>0.40910000000000002</v>
      </c>
      <c r="P60" s="12">
        <v>0.36559999999999998</v>
      </c>
      <c r="Q60" s="2">
        <v>0.21</v>
      </c>
    </row>
    <row r="61" spans="2:17" ht="75">
      <c r="B61" s="68" t="s">
        <v>323</v>
      </c>
      <c r="C61" s="69" t="s">
        <v>60</v>
      </c>
      <c r="D61" s="70" t="s">
        <v>419</v>
      </c>
      <c r="E61" s="71" t="s">
        <v>788</v>
      </c>
      <c r="F61" s="1" t="s">
        <v>1</v>
      </c>
      <c r="G61" s="1" t="s">
        <v>289</v>
      </c>
      <c r="H61" s="1" t="s">
        <v>937</v>
      </c>
      <c r="I61" s="12">
        <v>0.70130000000000003</v>
      </c>
      <c r="J61" s="12">
        <v>0.64810000000000001</v>
      </c>
      <c r="K61" s="12">
        <v>0.5595</v>
      </c>
      <c r="L61" s="12">
        <v>0.4</v>
      </c>
      <c r="M61" s="12">
        <v>0.53720000000000001</v>
      </c>
      <c r="N61" s="12">
        <v>0.48920000000000002</v>
      </c>
      <c r="O61" s="12">
        <v>0.40910000000000002</v>
      </c>
      <c r="P61" s="12">
        <v>0.36559999999999998</v>
      </c>
      <c r="Q61" s="2">
        <v>0.21</v>
      </c>
    </row>
    <row r="62" spans="2:17" ht="90">
      <c r="B62" s="68" t="s">
        <v>337</v>
      </c>
      <c r="C62" s="69" t="s">
        <v>464</v>
      </c>
      <c r="D62" s="70" t="s">
        <v>465</v>
      </c>
      <c r="E62" s="71" t="s">
        <v>466</v>
      </c>
      <c r="F62" s="1" t="s">
        <v>1</v>
      </c>
      <c r="G62" s="1" t="s">
        <v>289</v>
      </c>
      <c r="H62" s="1" t="s">
        <v>937</v>
      </c>
      <c r="I62" s="12">
        <v>0.70130000000000003</v>
      </c>
      <c r="J62" s="12">
        <v>0.64810000000000001</v>
      </c>
      <c r="K62" s="12">
        <v>0.5595</v>
      </c>
      <c r="L62" s="12">
        <v>0.4</v>
      </c>
      <c r="M62" s="12">
        <v>0.53720000000000001</v>
      </c>
      <c r="N62" s="12">
        <v>0.48920000000000002</v>
      </c>
      <c r="O62" s="12">
        <v>0.40910000000000002</v>
      </c>
      <c r="P62" s="12">
        <v>0.36559999999999998</v>
      </c>
      <c r="Q62" s="2">
        <v>0.21</v>
      </c>
    </row>
    <row r="63" spans="2:17" ht="165">
      <c r="B63" s="68" t="s">
        <v>789</v>
      </c>
      <c r="C63" s="69" t="s">
        <v>61</v>
      </c>
      <c r="D63" s="70">
        <v>8511</v>
      </c>
      <c r="E63" s="71" t="s">
        <v>790</v>
      </c>
      <c r="F63" s="1" t="s">
        <v>1</v>
      </c>
      <c r="G63" s="1" t="s">
        <v>289</v>
      </c>
      <c r="H63" s="1" t="s">
        <v>937</v>
      </c>
      <c r="I63" s="12">
        <v>0.70130000000000003</v>
      </c>
      <c r="J63" s="12">
        <v>0.64810000000000001</v>
      </c>
      <c r="K63" s="12">
        <v>0.5595</v>
      </c>
      <c r="L63" s="12">
        <v>0.4</v>
      </c>
      <c r="M63" s="12">
        <v>0.53720000000000001</v>
      </c>
      <c r="N63" s="12">
        <v>0.48920000000000002</v>
      </c>
      <c r="O63" s="12">
        <v>0.40910000000000002</v>
      </c>
      <c r="P63" s="12">
        <v>0.36559999999999998</v>
      </c>
      <c r="Q63" s="2">
        <v>0.21</v>
      </c>
    </row>
    <row r="64" spans="2:17" ht="105">
      <c r="B64" s="68" t="s">
        <v>791</v>
      </c>
      <c r="C64" s="69" t="s">
        <v>62</v>
      </c>
      <c r="D64" s="70" t="s">
        <v>792</v>
      </c>
      <c r="E64" s="71" t="s">
        <v>793</v>
      </c>
      <c r="F64" s="1" t="s">
        <v>1</v>
      </c>
      <c r="G64" s="1" t="s">
        <v>289</v>
      </c>
      <c r="H64" s="1" t="s">
        <v>937</v>
      </c>
      <c r="I64" s="12">
        <v>0.70130000000000003</v>
      </c>
      <c r="J64" s="12">
        <v>0.64810000000000001</v>
      </c>
      <c r="K64" s="12">
        <v>0.5595</v>
      </c>
      <c r="L64" s="12">
        <v>0.4</v>
      </c>
      <c r="M64" s="12">
        <v>0.53720000000000001</v>
      </c>
      <c r="N64" s="12">
        <v>0.48920000000000002</v>
      </c>
      <c r="O64" s="12">
        <v>0.40910000000000002</v>
      </c>
      <c r="P64" s="12">
        <v>0.36559999999999998</v>
      </c>
      <c r="Q64" s="2">
        <v>0.21</v>
      </c>
    </row>
    <row r="65" spans="2:17" ht="33.75">
      <c r="B65" s="68" t="s">
        <v>794</v>
      </c>
      <c r="C65" s="69" t="s">
        <v>63</v>
      </c>
      <c r="D65" s="70" t="s">
        <v>420</v>
      </c>
      <c r="E65" s="71" t="s">
        <v>795</v>
      </c>
      <c r="F65" s="1" t="s">
        <v>1</v>
      </c>
      <c r="G65" s="1" t="s">
        <v>289</v>
      </c>
      <c r="H65" s="1" t="s">
        <v>937</v>
      </c>
      <c r="I65" s="12">
        <v>0.70130000000000003</v>
      </c>
      <c r="J65" s="12">
        <v>0.64810000000000001</v>
      </c>
      <c r="K65" s="12">
        <v>0.5595</v>
      </c>
      <c r="L65" s="12">
        <v>0.4</v>
      </c>
      <c r="M65" s="12">
        <v>0.53720000000000001</v>
      </c>
      <c r="N65" s="12">
        <v>0.48920000000000002</v>
      </c>
      <c r="O65" s="12">
        <v>0.40910000000000002</v>
      </c>
      <c r="P65" s="12">
        <v>0.36559999999999998</v>
      </c>
      <c r="Q65" s="2">
        <v>0.21</v>
      </c>
    </row>
    <row r="66" spans="2:17" ht="45">
      <c r="B66" s="68" t="s">
        <v>796</v>
      </c>
      <c r="C66" s="69" t="s">
        <v>64</v>
      </c>
      <c r="D66" s="70">
        <v>8518</v>
      </c>
      <c r="E66" s="71" t="s">
        <v>797</v>
      </c>
      <c r="F66" s="1" t="s">
        <v>1</v>
      </c>
      <c r="G66" s="1" t="s">
        <v>289</v>
      </c>
      <c r="H66" s="1" t="s">
        <v>937</v>
      </c>
      <c r="I66" s="12">
        <v>0.70130000000000003</v>
      </c>
      <c r="J66" s="12">
        <v>0.64810000000000001</v>
      </c>
      <c r="K66" s="12">
        <v>0.5595</v>
      </c>
      <c r="L66" s="12">
        <v>0.4</v>
      </c>
      <c r="M66" s="12">
        <v>0.53720000000000001</v>
      </c>
      <c r="N66" s="12">
        <v>0.48920000000000002</v>
      </c>
      <c r="O66" s="12">
        <v>0.40910000000000002</v>
      </c>
      <c r="P66" s="12">
        <v>0.36559999999999998</v>
      </c>
      <c r="Q66" s="2">
        <v>0.21</v>
      </c>
    </row>
    <row r="67" spans="2:17" ht="45">
      <c r="B67" s="68" t="s">
        <v>325</v>
      </c>
      <c r="C67" s="69" t="s">
        <v>65</v>
      </c>
      <c r="D67" s="70" t="s">
        <v>421</v>
      </c>
      <c r="E67" s="71" t="s">
        <v>798</v>
      </c>
      <c r="F67" s="1" t="s">
        <v>1</v>
      </c>
      <c r="G67" s="1" t="s">
        <v>289</v>
      </c>
      <c r="H67" s="1" t="s">
        <v>937</v>
      </c>
      <c r="I67" s="12">
        <v>0.70130000000000003</v>
      </c>
      <c r="J67" s="12">
        <v>0.64810000000000001</v>
      </c>
      <c r="K67" s="12">
        <v>0.5595</v>
      </c>
      <c r="L67" s="12">
        <v>0.4</v>
      </c>
      <c r="M67" s="12">
        <v>0.53720000000000001</v>
      </c>
      <c r="N67" s="12">
        <v>0.48920000000000002</v>
      </c>
      <c r="O67" s="12">
        <v>0.40910000000000002</v>
      </c>
      <c r="P67" s="12">
        <v>0.36559999999999998</v>
      </c>
      <c r="Q67" s="2">
        <v>0.21</v>
      </c>
    </row>
    <row r="68" spans="2:17" ht="33.75">
      <c r="B68" s="68" t="s">
        <v>799</v>
      </c>
      <c r="C68" s="69" t="s">
        <v>66</v>
      </c>
      <c r="D68" s="70" t="s">
        <v>422</v>
      </c>
      <c r="E68" s="71" t="s">
        <v>800</v>
      </c>
      <c r="F68" s="1" t="s">
        <v>1</v>
      </c>
      <c r="G68" s="1" t="s">
        <v>289</v>
      </c>
      <c r="H68" s="1" t="s">
        <v>937</v>
      </c>
      <c r="I68" s="12">
        <v>0.70130000000000003</v>
      </c>
      <c r="J68" s="12">
        <v>0.64810000000000001</v>
      </c>
      <c r="K68" s="12">
        <v>0.5595</v>
      </c>
      <c r="L68" s="12">
        <v>0.4</v>
      </c>
      <c r="M68" s="12">
        <v>0.53720000000000001</v>
      </c>
      <c r="N68" s="12">
        <v>0.48920000000000002</v>
      </c>
      <c r="O68" s="12">
        <v>0.40910000000000002</v>
      </c>
      <c r="P68" s="12">
        <v>0.36559999999999998</v>
      </c>
      <c r="Q68" s="2">
        <v>0.21</v>
      </c>
    </row>
    <row r="69" spans="2:17" ht="60">
      <c r="B69" s="68" t="s">
        <v>801</v>
      </c>
      <c r="C69" s="69" t="s">
        <v>67</v>
      </c>
      <c r="D69" s="69" t="s">
        <v>802</v>
      </c>
      <c r="E69" s="72" t="s">
        <v>803</v>
      </c>
      <c r="F69" s="1" t="s">
        <v>1</v>
      </c>
      <c r="G69" s="1" t="s">
        <v>289</v>
      </c>
      <c r="H69" s="1" t="s">
        <v>937</v>
      </c>
      <c r="I69" s="12">
        <v>0.70130000000000003</v>
      </c>
      <c r="J69" s="12">
        <v>0.64810000000000001</v>
      </c>
      <c r="K69" s="12">
        <v>0.5595</v>
      </c>
      <c r="L69" s="12">
        <v>0.4</v>
      </c>
      <c r="M69" s="12">
        <v>0.53720000000000001</v>
      </c>
      <c r="N69" s="12">
        <v>0.48920000000000002</v>
      </c>
      <c r="O69" s="12">
        <v>0.40910000000000002</v>
      </c>
      <c r="P69" s="12">
        <v>0.36559999999999998</v>
      </c>
      <c r="Q69" s="2">
        <v>0.21</v>
      </c>
    </row>
    <row r="70" spans="2:17" ht="105">
      <c r="B70" s="68" t="s">
        <v>804</v>
      </c>
      <c r="C70" s="69" t="s">
        <v>68</v>
      </c>
      <c r="D70" s="70" t="s">
        <v>423</v>
      </c>
      <c r="E70" s="71" t="s">
        <v>376</v>
      </c>
      <c r="F70" s="1" t="s">
        <v>1</v>
      </c>
      <c r="G70" s="1" t="s">
        <v>289</v>
      </c>
      <c r="H70" s="1" t="s">
        <v>937</v>
      </c>
      <c r="I70" s="12">
        <v>0.70130000000000003</v>
      </c>
      <c r="J70" s="12">
        <v>0.64810000000000001</v>
      </c>
      <c r="K70" s="12">
        <v>0.5595</v>
      </c>
      <c r="L70" s="12">
        <v>0.4</v>
      </c>
      <c r="M70" s="12">
        <v>0.53720000000000001</v>
      </c>
      <c r="N70" s="12">
        <v>0.48920000000000002</v>
      </c>
      <c r="O70" s="12">
        <v>0.40910000000000002</v>
      </c>
      <c r="P70" s="12">
        <v>0.36559999999999998</v>
      </c>
      <c r="Q70" s="2">
        <v>0.21</v>
      </c>
    </row>
    <row r="71" spans="2:17" ht="75">
      <c r="B71" s="68" t="s">
        <v>805</v>
      </c>
      <c r="C71" s="69" t="s">
        <v>69</v>
      </c>
      <c r="D71" s="70" t="s">
        <v>424</v>
      </c>
      <c r="E71" s="71" t="s">
        <v>806</v>
      </c>
      <c r="F71" s="1" t="s">
        <v>1</v>
      </c>
      <c r="G71" s="1" t="s">
        <v>289</v>
      </c>
      <c r="H71" s="1" t="s">
        <v>937</v>
      </c>
      <c r="I71" s="12">
        <v>0.70130000000000003</v>
      </c>
      <c r="J71" s="12">
        <v>0.64810000000000001</v>
      </c>
      <c r="K71" s="12">
        <v>0.5595</v>
      </c>
      <c r="L71" s="12">
        <v>0.4</v>
      </c>
      <c r="M71" s="12">
        <v>0.53720000000000001</v>
      </c>
      <c r="N71" s="12">
        <v>0.48920000000000002</v>
      </c>
      <c r="O71" s="12">
        <v>0.40910000000000002</v>
      </c>
      <c r="P71" s="12">
        <v>0.36559999999999998</v>
      </c>
      <c r="Q71" s="2">
        <v>0.21</v>
      </c>
    </row>
    <row r="72" spans="2:17" ht="90">
      <c r="B72" s="68" t="s">
        <v>807</v>
      </c>
      <c r="C72" s="70" t="s">
        <v>70</v>
      </c>
      <c r="D72" s="70" t="s">
        <v>338</v>
      </c>
      <c r="E72" s="71" t="s">
        <v>377</v>
      </c>
      <c r="F72" s="1" t="s">
        <v>1</v>
      </c>
      <c r="G72" s="1" t="s">
        <v>289</v>
      </c>
      <c r="H72" s="1" t="s">
        <v>937</v>
      </c>
      <c r="I72" s="12">
        <v>0.70130000000000003</v>
      </c>
      <c r="J72" s="12">
        <v>0.64810000000000001</v>
      </c>
      <c r="K72" s="12">
        <v>0.5595</v>
      </c>
      <c r="L72" s="12">
        <v>0.4</v>
      </c>
      <c r="M72" s="12">
        <v>0.53720000000000001</v>
      </c>
      <c r="N72" s="12">
        <v>0.48920000000000002</v>
      </c>
      <c r="O72" s="12">
        <v>0.40910000000000002</v>
      </c>
      <c r="P72" s="12">
        <v>0.36559999999999998</v>
      </c>
      <c r="Q72" s="2">
        <v>0.21</v>
      </c>
    </row>
    <row r="73" spans="2:17" ht="33.75">
      <c r="B73" s="68" t="s">
        <v>326</v>
      </c>
      <c r="C73" s="69" t="s">
        <v>71</v>
      </c>
      <c r="D73" s="70" t="s">
        <v>425</v>
      </c>
      <c r="E73" s="71" t="s">
        <v>808</v>
      </c>
      <c r="F73" s="1" t="s">
        <v>1</v>
      </c>
      <c r="G73" s="1" t="s">
        <v>289</v>
      </c>
      <c r="H73" s="1" t="s">
        <v>937</v>
      </c>
      <c r="I73" s="12">
        <v>0.70130000000000003</v>
      </c>
      <c r="J73" s="12">
        <v>0.64810000000000001</v>
      </c>
      <c r="K73" s="12">
        <v>0.5595</v>
      </c>
      <c r="L73" s="12">
        <v>0.4</v>
      </c>
      <c r="M73" s="12">
        <v>0.53720000000000001</v>
      </c>
      <c r="N73" s="12">
        <v>0.48920000000000002</v>
      </c>
      <c r="O73" s="12">
        <v>0.40910000000000002</v>
      </c>
      <c r="P73" s="12">
        <v>0.36559999999999998</v>
      </c>
      <c r="Q73" s="2">
        <v>0.21</v>
      </c>
    </row>
    <row r="74" spans="2:17" ht="33.75">
      <c r="B74" s="68" t="s">
        <v>328</v>
      </c>
      <c r="C74" s="69" t="s">
        <v>72</v>
      </c>
      <c r="D74" s="70" t="s">
        <v>368</v>
      </c>
      <c r="E74" s="71" t="s">
        <v>378</v>
      </c>
      <c r="F74" s="1" t="s">
        <v>1</v>
      </c>
      <c r="G74" s="1" t="s">
        <v>289</v>
      </c>
      <c r="H74" s="1" t="s">
        <v>937</v>
      </c>
      <c r="I74" s="12">
        <v>0.70130000000000003</v>
      </c>
      <c r="J74" s="12">
        <v>0.64810000000000001</v>
      </c>
      <c r="K74" s="12">
        <v>0.5595</v>
      </c>
      <c r="L74" s="12">
        <v>0.4</v>
      </c>
      <c r="M74" s="12">
        <v>0.53720000000000001</v>
      </c>
      <c r="N74" s="12">
        <v>0.48920000000000002</v>
      </c>
      <c r="O74" s="12">
        <v>0.40910000000000002</v>
      </c>
      <c r="P74" s="12">
        <v>0.36559999999999998</v>
      </c>
      <c r="Q74" s="2">
        <v>0.21</v>
      </c>
    </row>
    <row r="75" spans="2:17" ht="33.75">
      <c r="B75" s="68" t="s">
        <v>809</v>
      </c>
      <c r="C75" s="69" t="s">
        <v>73</v>
      </c>
      <c r="D75" s="70" t="s">
        <v>810</v>
      </c>
      <c r="E75" s="71" t="s">
        <v>811</v>
      </c>
      <c r="F75" s="1" t="s">
        <v>1</v>
      </c>
      <c r="G75" s="1" t="s">
        <v>289</v>
      </c>
      <c r="H75" s="1" t="s">
        <v>937</v>
      </c>
      <c r="I75" s="12">
        <v>0.70130000000000003</v>
      </c>
      <c r="J75" s="12">
        <v>0.64810000000000001</v>
      </c>
      <c r="K75" s="12">
        <v>0.5595</v>
      </c>
      <c r="L75" s="12">
        <v>0.4</v>
      </c>
      <c r="M75" s="12">
        <v>0.53720000000000001</v>
      </c>
      <c r="N75" s="12">
        <v>0.48920000000000002</v>
      </c>
      <c r="O75" s="12">
        <v>0.40910000000000002</v>
      </c>
      <c r="P75" s="12">
        <v>0.36559999999999998</v>
      </c>
      <c r="Q75" s="2">
        <v>0.21</v>
      </c>
    </row>
    <row r="76" spans="2:17" ht="33.75">
      <c r="B76" s="68" t="s">
        <v>812</v>
      </c>
      <c r="C76" s="69" t="s">
        <v>74</v>
      </c>
      <c r="D76" s="70" t="s">
        <v>426</v>
      </c>
      <c r="E76" s="71" t="s">
        <v>813</v>
      </c>
      <c r="F76" s="1" t="s">
        <v>1</v>
      </c>
      <c r="G76" s="1" t="s">
        <v>289</v>
      </c>
      <c r="H76" s="1" t="s">
        <v>937</v>
      </c>
      <c r="I76" s="12">
        <v>0.70130000000000003</v>
      </c>
      <c r="J76" s="12">
        <v>0.64810000000000001</v>
      </c>
      <c r="K76" s="12">
        <v>0.5595</v>
      </c>
      <c r="L76" s="12">
        <v>0.4</v>
      </c>
      <c r="M76" s="12">
        <v>0.53720000000000001</v>
      </c>
      <c r="N76" s="12">
        <v>0.48920000000000002</v>
      </c>
      <c r="O76" s="12">
        <v>0.40910000000000002</v>
      </c>
      <c r="P76" s="12">
        <v>0.36559999999999998</v>
      </c>
      <c r="Q76" s="2">
        <v>0.21</v>
      </c>
    </row>
    <row r="77" spans="2:17" ht="33.75">
      <c r="B77" s="68" t="s">
        <v>814</v>
      </c>
      <c r="C77" s="69" t="s">
        <v>75</v>
      </c>
      <c r="D77" s="70" t="s">
        <v>427</v>
      </c>
      <c r="E77" s="71" t="s">
        <v>379</v>
      </c>
      <c r="F77" s="1" t="s">
        <v>1</v>
      </c>
      <c r="G77" s="1" t="s">
        <v>289</v>
      </c>
      <c r="H77" s="1" t="s">
        <v>937</v>
      </c>
      <c r="I77" s="12">
        <v>0.70130000000000003</v>
      </c>
      <c r="J77" s="12">
        <v>0.64810000000000001</v>
      </c>
      <c r="K77" s="12">
        <v>0.5595</v>
      </c>
      <c r="L77" s="12">
        <v>0.4</v>
      </c>
      <c r="M77" s="12">
        <v>0.53720000000000001</v>
      </c>
      <c r="N77" s="12">
        <v>0.48920000000000002</v>
      </c>
      <c r="O77" s="12">
        <v>0.40910000000000002</v>
      </c>
      <c r="P77" s="12">
        <v>0.36559999999999998</v>
      </c>
      <c r="Q77" s="2">
        <v>0.21</v>
      </c>
    </row>
    <row r="78" spans="2:17" ht="33.75">
      <c r="B78" s="68" t="s">
        <v>815</v>
      </c>
      <c r="C78" s="69" t="s">
        <v>76</v>
      </c>
      <c r="D78" s="70" t="s">
        <v>428</v>
      </c>
      <c r="E78" s="71" t="s">
        <v>816</v>
      </c>
      <c r="F78" s="1" t="s">
        <v>1</v>
      </c>
      <c r="G78" s="1" t="s">
        <v>289</v>
      </c>
      <c r="H78" s="1" t="s">
        <v>937</v>
      </c>
      <c r="I78" s="12">
        <v>0.70130000000000003</v>
      </c>
      <c r="J78" s="12">
        <v>0.64810000000000001</v>
      </c>
      <c r="K78" s="12">
        <v>0.5595</v>
      </c>
      <c r="L78" s="12">
        <v>0.4</v>
      </c>
      <c r="M78" s="12">
        <v>0.53720000000000001</v>
      </c>
      <c r="N78" s="12">
        <v>0.48920000000000002</v>
      </c>
      <c r="O78" s="12">
        <v>0.40910000000000002</v>
      </c>
      <c r="P78" s="12">
        <v>0.36559999999999998</v>
      </c>
      <c r="Q78" s="2">
        <v>0.21</v>
      </c>
    </row>
    <row r="79" spans="2:17" ht="75">
      <c r="B79" s="68" t="s">
        <v>817</v>
      </c>
      <c r="C79" s="69" t="s">
        <v>77</v>
      </c>
      <c r="D79" s="69">
        <v>8538</v>
      </c>
      <c r="E79" s="71" t="s">
        <v>818</v>
      </c>
      <c r="F79" s="1" t="s">
        <v>1</v>
      </c>
      <c r="G79" s="1" t="s">
        <v>289</v>
      </c>
      <c r="H79" s="1" t="s">
        <v>937</v>
      </c>
      <c r="I79" s="12">
        <v>0.70130000000000003</v>
      </c>
      <c r="J79" s="12">
        <v>0.64810000000000001</v>
      </c>
      <c r="K79" s="12">
        <v>0.5595</v>
      </c>
      <c r="L79" s="12">
        <v>0.4</v>
      </c>
      <c r="M79" s="12">
        <v>0.53720000000000001</v>
      </c>
      <c r="N79" s="12">
        <v>0.48920000000000002</v>
      </c>
      <c r="O79" s="12">
        <v>0.40910000000000002</v>
      </c>
      <c r="P79" s="12">
        <v>0.36559999999999998</v>
      </c>
      <c r="Q79" s="2">
        <v>0.21</v>
      </c>
    </row>
    <row r="80" spans="2:17" ht="33.75">
      <c r="B80" s="68" t="s">
        <v>819</v>
      </c>
      <c r="C80" s="69" t="s">
        <v>78</v>
      </c>
      <c r="D80" s="70" t="s">
        <v>429</v>
      </c>
      <c r="E80" s="71" t="s">
        <v>820</v>
      </c>
      <c r="F80" s="1" t="s">
        <v>1</v>
      </c>
      <c r="G80" s="1" t="s">
        <v>289</v>
      </c>
      <c r="H80" s="1" t="s">
        <v>937</v>
      </c>
      <c r="I80" s="12">
        <v>0.70130000000000003</v>
      </c>
      <c r="J80" s="12">
        <v>0.64810000000000001</v>
      </c>
      <c r="K80" s="12">
        <v>0.5595</v>
      </c>
      <c r="L80" s="12">
        <v>0.4</v>
      </c>
      <c r="M80" s="12">
        <v>0.53720000000000001</v>
      </c>
      <c r="N80" s="12">
        <v>0.48920000000000002</v>
      </c>
      <c r="O80" s="12">
        <v>0.40910000000000002</v>
      </c>
      <c r="P80" s="12">
        <v>0.36559999999999998</v>
      </c>
      <c r="Q80" s="2">
        <v>0.21</v>
      </c>
    </row>
    <row r="81" spans="2:17" ht="45">
      <c r="B81" s="68" t="s">
        <v>821</v>
      </c>
      <c r="C81" s="69" t="s">
        <v>79</v>
      </c>
      <c r="D81" s="70" t="s">
        <v>430</v>
      </c>
      <c r="E81" s="71" t="s">
        <v>822</v>
      </c>
      <c r="F81" s="1" t="s">
        <v>1</v>
      </c>
      <c r="G81" s="1" t="s">
        <v>289</v>
      </c>
      <c r="H81" s="1" t="s">
        <v>937</v>
      </c>
      <c r="I81" s="12">
        <v>0.70130000000000003</v>
      </c>
      <c r="J81" s="12">
        <v>0.64810000000000001</v>
      </c>
      <c r="K81" s="12">
        <v>0.5595</v>
      </c>
      <c r="L81" s="12">
        <v>0.4</v>
      </c>
      <c r="M81" s="12">
        <v>0.53720000000000001</v>
      </c>
      <c r="N81" s="12">
        <v>0.48920000000000002</v>
      </c>
      <c r="O81" s="12">
        <v>0.40910000000000002</v>
      </c>
      <c r="P81" s="12">
        <v>0.36559999999999998</v>
      </c>
      <c r="Q81" s="2">
        <v>0.21</v>
      </c>
    </row>
    <row r="82" spans="2:17" ht="33.75">
      <c r="B82" s="68" t="s">
        <v>823</v>
      </c>
      <c r="C82" s="69" t="s">
        <v>80</v>
      </c>
      <c r="D82" s="70" t="s">
        <v>431</v>
      </c>
      <c r="E82" s="71" t="s">
        <v>824</v>
      </c>
      <c r="F82" s="1" t="s">
        <v>1</v>
      </c>
      <c r="G82" s="1" t="s">
        <v>289</v>
      </c>
      <c r="H82" s="1" t="s">
        <v>937</v>
      </c>
      <c r="I82" s="12">
        <v>0.70130000000000003</v>
      </c>
      <c r="J82" s="12">
        <v>0.64810000000000001</v>
      </c>
      <c r="K82" s="12">
        <v>0.5595</v>
      </c>
      <c r="L82" s="12">
        <v>0.4</v>
      </c>
      <c r="M82" s="12">
        <v>0.53720000000000001</v>
      </c>
      <c r="N82" s="12">
        <v>0.48920000000000002</v>
      </c>
      <c r="O82" s="12">
        <v>0.40910000000000002</v>
      </c>
      <c r="P82" s="12">
        <v>0.36559999999999998</v>
      </c>
      <c r="Q82" s="2">
        <v>0.21</v>
      </c>
    </row>
    <row r="83" spans="2:17" ht="33.75">
      <c r="B83" s="68" t="s">
        <v>825</v>
      </c>
      <c r="C83" s="69" t="s">
        <v>81</v>
      </c>
      <c r="D83" s="70" t="s">
        <v>432</v>
      </c>
      <c r="E83" s="71" t="s">
        <v>826</v>
      </c>
      <c r="F83" s="1" t="s">
        <v>1</v>
      </c>
      <c r="G83" s="1" t="s">
        <v>289</v>
      </c>
      <c r="H83" s="1" t="s">
        <v>937</v>
      </c>
      <c r="I83" s="12">
        <v>0.70130000000000003</v>
      </c>
      <c r="J83" s="12">
        <v>0.64810000000000001</v>
      </c>
      <c r="K83" s="12">
        <v>0.5595</v>
      </c>
      <c r="L83" s="12">
        <v>0.4</v>
      </c>
      <c r="M83" s="12">
        <v>0.53720000000000001</v>
      </c>
      <c r="N83" s="12">
        <v>0.48920000000000002</v>
      </c>
      <c r="O83" s="12">
        <v>0.40910000000000002</v>
      </c>
      <c r="P83" s="12">
        <v>0.36559999999999998</v>
      </c>
      <c r="Q83" s="2">
        <v>0.21</v>
      </c>
    </row>
    <row r="84" spans="2:17" ht="45">
      <c r="B84" s="68" t="s">
        <v>827</v>
      </c>
      <c r="C84" s="69" t="s">
        <v>82</v>
      </c>
      <c r="D84" s="70">
        <v>8707</v>
      </c>
      <c r="E84" s="71" t="s">
        <v>828</v>
      </c>
      <c r="F84" s="1" t="s">
        <v>1</v>
      </c>
      <c r="G84" s="1" t="s">
        <v>289</v>
      </c>
      <c r="H84" s="1" t="s">
        <v>937</v>
      </c>
      <c r="I84" s="12">
        <v>0.70130000000000003</v>
      </c>
      <c r="J84" s="12">
        <v>0.64810000000000001</v>
      </c>
      <c r="K84" s="12">
        <v>0.5595</v>
      </c>
      <c r="L84" s="12">
        <v>0.4</v>
      </c>
      <c r="M84" s="12">
        <v>0.53720000000000001</v>
      </c>
      <c r="N84" s="12">
        <v>0.48920000000000002</v>
      </c>
      <c r="O84" s="12">
        <v>0.40910000000000002</v>
      </c>
      <c r="P84" s="12">
        <v>0.36559999999999998</v>
      </c>
      <c r="Q84" s="2">
        <v>0.21</v>
      </c>
    </row>
    <row r="85" spans="2:17" ht="45">
      <c r="B85" s="68" t="s">
        <v>829</v>
      </c>
      <c r="C85" s="69" t="s">
        <v>83</v>
      </c>
      <c r="D85" s="70">
        <v>8708</v>
      </c>
      <c r="E85" s="71" t="s">
        <v>830</v>
      </c>
      <c r="F85" s="1" t="s">
        <v>1</v>
      </c>
      <c r="G85" s="1" t="s">
        <v>289</v>
      </c>
      <c r="H85" s="1" t="s">
        <v>937</v>
      </c>
      <c r="I85" s="12">
        <v>0.70130000000000003</v>
      </c>
      <c r="J85" s="12">
        <v>0.64810000000000001</v>
      </c>
      <c r="K85" s="12">
        <v>0.5595</v>
      </c>
      <c r="L85" s="12">
        <v>0.4</v>
      </c>
      <c r="M85" s="12">
        <v>0.53720000000000001</v>
      </c>
      <c r="N85" s="12">
        <v>0.48920000000000002</v>
      </c>
      <c r="O85" s="12">
        <v>0.40910000000000002</v>
      </c>
      <c r="P85" s="12">
        <v>0.36559999999999998</v>
      </c>
      <c r="Q85" s="2">
        <v>0.21</v>
      </c>
    </row>
    <row r="86" spans="2:17" ht="45">
      <c r="B86" s="68" t="s">
        <v>831</v>
      </c>
      <c r="C86" s="69" t="s">
        <v>84</v>
      </c>
      <c r="D86" s="70" t="s">
        <v>433</v>
      </c>
      <c r="E86" s="71" t="s">
        <v>832</v>
      </c>
      <c r="F86" s="1" t="s">
        <v>1</v>
      </c>
      <c r="G86" s="1" t="s">
        <v>289</v>
      </c>
      <c r="H86" s="1" t="s">
        <v>937</v>
      </c>
      <c r="I86" s="12">
        <v>0.70130000000000003</v>
      </c>
      <c r="J86" s="12">
        <v>0.64810000000000001</v>
      </c>
      <c r="K86" s="12">
        <v>0.5595</v>
      </c>
      <c r="L86" s="12">
        <v>0.4</v>
      </c>
      <c r="M86" s="12">
        <v>0.53720000000000001</v>
      </c>
      <c r="N86" s="12">
        <v>0.48920000000000002</v>
      </c>
      <c r="O86" s="12">
        <v>0.40910000000000002</v>
      </c>
      <c r="P86" s="12">
        <v>0.36559999999999998</v>
      </c>
      <c r="Q86" s="2">
        <v>0.21</v>
      </c>
    </row>
    <row r="87" spans="2:17" ht="33.75">
      <c r="B87" s="68" t="s">
        <v>833</v>
      </c>
      <c r="C87" s="69" t="s">
        <v>85</v>
      </c>
      <c r="D87" s="69" t="s">
        <v>434</v>
      </c>
      <c r="E87" s="72" t="s">
        <v>834</v>
      </c>
      <c r="F87" s="1" t="s">
        <v>1</v>
      </c>
      <c r="G87" s="1" t="s">
        <v>289</v>
      </c>
      <c r="H87" s="1" t="s">
        <v>937</v>
      </c>
      <c r="I87" s="12">
        <v>0.70130000000000003</v>
      </c>
      <c r="J87" s="12">
        <v>0.64810000000000001</v>
      </c>
      <c r="K87" s="12">
        <v>0.5595</v>
      </c>
      <c r="L87" s="12">
        <v>0.4</v>
      </c>
      <c r="M87" s="12">
        <v>0.53720000000000001</v>
      </c>
      <c r="N87" s="12">
        <v>0.48920000000000002</v>
      </c>
      <c r="O87" s="12">
        <v>0.40910000000000002</v>
      </c>
      <c r="P87" s="12">
        <v>0.36559999999999998</v>
      </c>
      <c r="Q87" s="2">
        <v>0.21</v>
      </c>
    </row>
    <row r="88" spans="2:17" ht="33.75">
      <c r="B88" s="68" t="s">
        <v>835</v>
      </c>
      <c r="C88" s="69" t="s">
        <v>86</v>
      </c>
      <c r="D88" s="70" t="s">
        <v>435</v>
      </c>
      <c r="E88" s="71" t="s">
        <v>836</v>
      </c>
      <c r="F88" s="1" t="s">
        <v>1</v>
      </c>
      <c r="G88" s="1" t="s">
        <v>289</v>
      </c>
      <c r="H88" s="1" t="s">
        <v>937</v>
      </c>
      <c r="I88" s="12">
        <v>0.70130000000000003</v>
      </c>
      <c r="J88" s="12">
        <v>0.64810000000000001</v>
      </c>
      <c r="K88" s="12">
        <v>0.5595</v>
      </c>
      <c r="L88" s="12">
        <v>0.4</v>
      </c>
      <c r="M88" s="12">
        <v>0.53720000000000001</v>
      </c>
      <c r="N88" s="12">
        <v>0.48920000000000002</v>
      </c>
      <c r="O88" s="12">
        <v>0.40910000000000002</v>
      </c>
      <c r="P88" s="12">
        <v>0.36559999999999998</v>
      </c>
      <c r="Q88" s="2">
        <v>0.21</v>
      </c>
    </row>
    <row r="89" spans="2:17" ht="33.75">
      <c r="B89" s="68" t="s">
        <v>837</v>
      </c>
      <c r="C89" s="69" t="s">
        <v>87</v>
      </c>
      <c r="D89" s="70" t="s">
        <v>436</v>
      </c>
      <c r="E89" s="71" t="s">
        <v>838</v>
      </c>
      <c r="F89" s="1" t="s">
        <v>1</v>
      </c>
      <c r="G89" s="1" t="s">
        <v>289</v>
      </c>
      <c r="H89" s="1" t="s">
        <v>937</v>
      </c>
      <c r="I89" s="12">
        <v>0.70130000000000003</v>
      </c>
      <c r="J89" s="12">
        <v>0.64810000000000001</v>
      </c>
      <c r="K89" s="12">
        <v>0.5595</v>
      </c>
      <c r="L89" s="12">
        <v>0.4</v>
      </c>
      <c r="M89" s="12">
        <v>0.53720000000000001</v>
      </c>
      <c r="N89" s="12">
        <v>0.48920000000000002</v>
      </c>
      <c r="O89" s="12">
        <v>0.40910000000000002</v>
      </c>
      <c r="P89" s="12">
        <v>0.36559999999999998</v>
      </c>
      <c r="Q89" s="2">
        <v>0.21</v>
      </c>
    </row>
    <row r="90" spans="2:17" ht="45">
      <c r="B90" s="68" t="s">
        <v>839</v>
      </c>
      <c r="C90" s="69" t="s">
        <v>88</v>
      </c>
      <c r="D90" s="70">
        <v>9029</v>
      </c>
      <c r="E90" s="71" t="s">
        <v>840</v>
      </c>
      <c r="F90" s="1" t="s">
        <v>1</v>
      </c>
      <c r="G90" s="1" t="s">
        <v>289</v>
      </c>
      <c r="H90" s="1" t="s">
        <v>937</v>
      </c>
      <c r="I90" s="12">
        <v>0.70130000000000003</v>
      </c>
      <c r="J90" s="12">
        <v>0.64810000000000001</v>
      </c>
      <c r="K90" s="12">
        <v>0.5595</v>
      </c>
      <c r="L90" s="12">
        <v>0.4</v>
      </c>
      <c r="M90" s="12">
        <v>0.53720000000000001</v>
      </c>
      <c r="N90" s="12">
        <v>0.48920000000000002</v>
      </c>
      <c r="O90" s="12">
        <v>0.40910000000000002</v>
      </c>
      <c r="P90" s="12">
        <v>0.36559999999999998</v>
      </c>
      <c r="Q90" s="2">
        <v>0.21</v>
      </c>
    </row>
    <row r="91" spans="2:17" ht="33.75">
      <c r="B91" s="68" t="s">
        <v>841</v>
      </c>
      <c r="C91" s="69" t="s">
        <v>89</v>
      </c>
      <c r="D91" s="70" t="s">
        <v>437</v>
      </c>
      <c r="E91" s="71" t="s">
        <v>842</v>
      </c>
      <c r="F91" s="1" t="s">
        <v>1</v>
      </c>
      <c r="G91" s="1" t="s">
        <v>289</v>
      </c>
      <c r="H91" s="1" t="s">
        <v>937</v>
      </c>
      <c r="I91" s="12">
        <v>0.70130000000000003</v>
      </c>
      <c r="J91" s="12">
        <v>0.64810000000000001</v>
      </c>
      <c r="K91" s="12">
        <v>0.5595</v>
      </c>
      <c r="L91" s="12">
        <v>0.4</v>
      </c>
      <c r="M91" s="12">
        <v>0.53720000000000001</v>
      </c>
      <c r="N91" s="12">
        <v>0.48920000000000002</v>
      </c>
      <c r="O91" s="12">
        <v>0.40910000000000002</v>
      </c>
      <c r="P91" s="12">
        <v>0.36559999999999998</v>
      </c>
      <c r="Q91" s="2">
        <v>0.21</v>
      </c>
    </row>
    <row r="92" spans="2:17" ht="105">
      <c r="B92" s="68" t="s">
        <v>843</v>
      </c>
      <c r="C92" s="69" t="s">
        <v>90</v>
      </c>
      <c r="D92" s="70" t="s">
        <v>438</v>
      </c>
      <c r="E92" s="71" t="s">
        <v>844</v>
      </c>
      <c r="F92" s="1" t="s">
        <v>1</v>
      </c>
      <c r="G92" s="1" t="s">
        <v>289</v>
      </c>
      <c r="H92" s="1" t="s">
        <v>937</v>
      </c>
      <c r="I92" s="12">
        <v>0.70130000000000003</v>
      </c>
      <c r="J92" s="12">
        <v>0.64810000000000001</v>
      </c>
      <c r="K92" s="12">
        <v>0.5595</v>
      </c>
      <c r="L92" s="12">
        <v>0.4</v>
      </c>
      <c r="M92" s="12">
        <v>0.53720000000000001</v>
      </c>
      <c r="N92" s="12">
        <v>0.48920000000000002</v>
      </c>
      <c r="O92" s="12">
        <v>0.40910000000000002</v>
      </c>
      <c r="P92" s="12">
        <v>0.36559999999999998</v>
      </c>
      <c r="Q92" s="2">
        <v>0.21</v>
      </c>
    </row>
    <row r="93" spans="2:17" ht="33.75">
      <c r="B93" s="68" t="s">
        <v>845</v>
      </c>
      <c r="C93" s="69" t="s">
        <v>91</v>
      </c>
      <c r="D93" s="70" t="s">
        <v>439</v>
      </c>
      <c r="E93" s="71" t="s">
        <v>846</v>
      </c>
      <c r="F93" s="1" t="s">
        <v>1</v>
      </c>
      <c r="G93" s="1" t="s">
        <v>289</v>
      </c>
      <c r="H93" s="1" t="s">
        <v>937</v>
      </c>
      <c r="I93" s="12">
        <v>0.70130000000000003</v>
      </c>
      <c r="J93" s="12">
        <v>0.64810000000000001</v>
      </c>
      <c r="K93" s="12">
        <v>0.5595</v>
      </c>
      <c r="L93" s="12">
        <v>0.4</v>
      </c>
      <c r="M93" s="12">
        <v>0.53720000000000001</v>
      </c>
      <c r="N93" s="12">
        <v>0.48920000000000002</v>
      </c>
      <c r="O93" s="12">
        <v>0.40910000000000002</v>
      </c>
      <c r="P93" s="12">
        <v>0.36559999999999998</v>
      </c>
      <c r="Q93" s="2">
        <v>0.21</v>
      </c>
    </row>
    <row r="94" spans="2:17" ht="45">
      <c r="B94" s="68" t="s">
        <v>847</v>
      </c>
      <c r="C94" s="69" t="s">
        <v>92</v>
      </c>
      <c r="D94" s="70" t="s">
        <v>440</v>
      </c>
      <c r="E94" s="71" t="s">
        <v>848</v>
      </c>
      <c r="F94" s="1" t="s">
        <v>1</v>
      </c>
      <c r="G94" s="1" t="s">
        <v>289</v>
      </c>
      <c r="H94" s="1" t="s">
        <v>937</v>
      </c>
      <c r="I94" s="12">
        <v>0.70130000000000003</v>
      </c>
      <c r="J94" s="12">
        <v>0.64810000000000001</v>
      </c>
      <c r="K94" s="12">
        <v>0.5595</v>
      </c>
      <c r="L94" s="12">
        <v>0.4</v>
      </c>
      <c r="M94" s="12">
        <v>0.53720000000000001</v>
      </c>
      <c r="N94" s="12">
        <v>0.48920000000000002</v>
      </c>
      <c r="O94" s="12">
        <v>0.40910000000000002</v>
      </c>
      <c r="P94" s="12">
        <v>0.36559999999999998</v>
      </c>
      <c r="Q94" s="2">
        <v>0.21</v>
      </c>
    </row>
    <row r="95" spans="2:17" ht="33.75">
      <c r="B95" s="68" t="s">
        <v>849</v>
      </c>
      <c r="C95" s="69" t="s">
        <v>93</v>
      </c>
      <c r="D95" s="70" t="s">
        <v>850</v>
      </c>
      <c r="E95" s="71" t="s">
        <v>851</v>
      </c>
      <c r="F95" s="1" t="s">
        <v>1</v>
      </c>
      <c r="G95" s="1" t="s">
        <v>289</v>
      </c>
      <c r="H95" s="1" t="s">
        <v>937</v>
      </c>
      <c r="I95" s="12">
        <v>0.70130000000000003</v>
      </c>
      <c r="J95" s="12">
        <v>0.64810000000000001</v>
      </c>
      <c r="K95" s="12">
        <v>0.5595</v>
      </c>
      <c r="L95" s="12">
        <v>0.4</v>
      </c>
      <c r="M95" s="12">
        <v>0.53720000000000001</v>
      </c>
      <c r="N95" s="12">
        <v>0.48920000000000002</v>
      </c>
      <c r="O95" s="12">
        <v>0.40910000000000002</v>
      </c>
      <c r="P95" s="12">
        <v>0.36559999999999998</v>
      </c>
      <c r="Q95" s="2">
        <v>0.21</v>
      </c>
    </row>
    <row r="96" spans="2:17" ht="33.75">
      <c r="B96" s="68" t="s">
        <v>852</v>
      </c>
      <c r="C96" s="69" t="s">
        <v>94</v>
      </c>
      <c r="D96" s="70" t="s">
        <v>441</v>
      </c>
      <c r="E96" s="71" t="s">
        <v>853</v>
      </c>
      <c r="F96" s="1" t="s">
        <v>1</v>
      </c>
      <c r="G96" s="1" t="s">
        <v>289</v>
      </c>
      <c r="H96" s="1" t="s">
        <v>937</v>
      </c>
      <c r="I96" s="12">
        <v>0.70130000000000003</v>
      </c>
      <c r="J96" s="12">
        <v>0.64810000000000001</v>
      </c>
      <c r="K96" s="12">
        <v>0.5595</v>
      </c>
      <c r="L96" s="12">
        <v>0.4</v>
      </c>
      <c r="M96" s="12">
        <v>0.53720000000000001</v>
      </c>
      <c r="N96" s="12">
        <v>0.48920000000000002</v>
      </c>
      <c r="O96" s="12">
        <v>0.40910000000000002</v>
      </c>
      <c r="P96" s="12">
        <v>0.36559999999999998</v>
      </c>
      <c r="Q96" s="2">
        <v>0.21</v>
      </c>
    </row>
    <row r="97" spans="2:17" ht="45">
      <c r="B97" s="68" t="s">
        <v>854</v>
      </c>
      <c r="C97" s="69" t="s">
        <v>95</v>
      </c>
      <c r="D97" s="70">
        <v>4009</v>
      </c>
      <c r="E97" s="71" t="s">
        <v>855</v>
      </c>
      <c r="F97" s="1" t="s">
        <v>1</v>
      </c>
      <c r="G97" s="1" t="s">
        <v>289</v>
      </c>
      <c r="H97" s="1" t="s">
        <v>937</v>
      </c>
      <c r="I97" s="12">
        <v>0.70130000000000003</v>
      </c>
      <c r="J97" s="12">
        <v>0.64810000000000001</v>
      </c>
      <c r="K97" s="12">
        <v>0.5595</v>
      </c>
      <c r="L97" s="12">
        <v>0.4</v>
      </c>
      <c r="M97" s="12">
        <v>0.53720000000000001</v>
      </c>
      <c r="N97" s="12">
        <v>0.48920000000000002</v>
      </c>
      <c r="O97" s="12">
        <v>0.40910000000000002</v>
      </c>
      <c r="P97" s="12">
        <v>0.36559999999999998</v>
      </c>
      <c r="Q97" s="2">
        <v>0.21</v>
      </c>
    </row>
    <row r="98" spans="2:17" ht="33.75">
      <c r="B98" s="68" t="s">
        <v>856</v>
      </c>
      <c r="C98" s="69" t="s">
        <v>96</v>
      </c>
      <c r="D98" s="70" t="s">
        <v>442</v>
      </c>
      <c r="E98" s="71" t="s">
        <v>857</v>
      </c>
      <c r="F98" s="1" t="s">
        <v>1</v>
      </c>
      <c r="G98" s="1" t="s">
        <v>289</v>
      </c>
      <c r="H98" s="1" t="s">
        <v>937</v>
      </c>
      <c r="I98" s="12">
        <v>0.70130000000000003</v>
      </c>
      <c r="J98" s="12">
        <v>0.64810000000000001</v>
      </c>
      <c r="K98" s="12">
        <v>0.5595</v>
      </c>
      <c r="L98" s="12">
        <v>0.4</v>
      </c>
      <c r="M98" s="12">
        <v>0.53720000000000001</v>
      </c>
      <c r="N98" s="12">
        <v>0.48920000000000002</v>
      </c>
      <c r="O98" s="12">
        <v>0.40910000000000002</v>
      </c>
      <c r="P98" s="12">
        <v>0.36559999999999998</v>
      </c>
      <c r="Q98" s="2">
        <v>0.21</v>
      </c>
    </row>
    <row r="99" spans="2:17" ht="33.75">
      <c r="B99" s="68" t="s">
        <v>858</v>
      </c>
      <c r="C99" s="69" t="s">
        <v>97</v>
      </c>
      <c r="D99" s="70" t="s">
        <v>443</v>
      </c>
      <c r="E99" s="71" t="s">
        <v>859</v>
      </c>
      <c r="F99" s="1" t="s">
        <v>1</v>
      </c>
      <c r="G99" s="1" t="s">
        <v>289</v>
      </c>
      <c r="H99" s="1" t="s">
        <v>937</v>
      </c>
      <c r="I99" s="12">
        <v>0.70130000000000003</v>
      </c>
      <c r="J99" s="12">
        <v>0.64810000000000001</v>
      </c>
      <c r="K99" s="12">
        <v>0.5595</v>
      </c>
      <c r="L99" s="12">
        <v>0.4</v>
      </c>
      <c r="M99" s="12">
        <v>0.53720000000000001</v>
      </c>
      <c r="N99" s="12">
        <v>0.48920000000000002</v>
      </c>
      <c r="O99" s="12">
        <v>0.40910000000000002</v>
      </c>
      <c r="P99" s="12">
        <v>0.36559999999999998</v>
      </c>
      <c r="Q99" s="2">
        <v>0.21</v>
      </c>
    </row>
    <row r="100" spans="2:17" ht="195">
      <c r="B100" s="68" t="s">
        <v>860</v>
      </c>
      <c r="C100" s="69" t="s">
        <v>98</v>
      </c>
      <c r="D100" s="70" t="s">
        <v>444</v>
      </c>
      <c r="E100" s="71" t="s">
        <v>861</v>
      </c>
      <c r="F100" s="1" t="s">
        <v>1</v>
      </c>
      <c r="G100" s="1" t="s">
        <v>289</v>
      </c>
      <c r="H100" s="1" t="s">
        <v>937</v>
      </c>
      <c r="I100" s="12">
        <v>0.70130000000000003</v>
      </c>
      <c r="J100" s="12">
        <v>0.64810000000000001</v>
      </c>
      <c r="K100" s="12">
        <v>0.5595</v>
      </c>
      <c r="L100" s="12">
        <v>0.4</v>
      </c>
      <c r="M100" s="12">
        <v>0.53720000000000001</v>
      </c>
      <c r="N100" s="12">
        <v>0.48920000000000002</v>
      </c>
      <c r="O100" s="12">
        <v>0.40910000000000002</v>
      </c>
      <c r="P100" s="12">
        <v>0.36559999999999998</v>
      </c>
      <c r="Q100" s="2">
        <v>0.21</v>
      </c>
    </row>
    <row r="101" spans="2:17" ht="33.75">
      <c r="B101" s="68" t="s">
        <v>862</v>
      </c>
      <c r="C101" s="69" t="s">
        <v>99</v>
      </c>
      <c r="D101" s="70" t="s">
        <v>445</v>
      </c>
      <c r="E101" s="71" t="s">
        <v>863</v>
      </c>
      <c r="F101" s="1" t="s">
        <v>1</v>
      </c>
      <c r="G101" s="1" t="s">
        <v>289</v>
      </c>
      <c r="H101" s="1" t="s">
        <v>937</v>
      </c>
      <c r="I101" s="12">
        <v>0.70130000000000003</v>
      </c>
      <c r="J101" s="12">
        <v>0.64810000000000001</v>
      </c>
      <c r="K101" s="12">
        <v>0.5595</v>
      </c>
      <c r="L101" s="12">
        <v>0.4</v>
      </c>
      <c r="M101" s="12">
        <v>0.53720000000000001</v>
      </c>
      <c r="N101" s="12">
        <v>0.48920000000000002</v>
      </c>
      <c r="O101" s="12">
        <v>0.40910000000000002</v>
      </c>
      <c r="P101" s="12">
        <v>0.36559999999999998</v>
      </c>
      <c r="Q101" s="2">
        <v>0.21</v>
      </c>
    </row>
    <row r="102" spans="2:17" ht="45">
      <c r="B102" s="68" t="s">
        <v>864</v>
      </c>
      <c r="C102" s="69" t="s">
        <v>100</v>
      </c>
      <c r="D102" s="70" t="s">
        <v>446</v>
      </c>
      <c r="E102" s="71" t="s">
        <v>865</v>
      </c>
      <c r="F102" s="1" t="s">
        <v>1</v>
      </c>
      <c r="G102" s="1" t="s">
        <v>289</v>
      </c>
      <c r="H102" s="1" t="s">
        <v>937</v>
      </c>
      <c r="I102" s="12">
        <v>0.70130000000000003</v>
      </c>
      <c r="J102" s="12">
        <v>0.64810000000000001</v>
      </c>
      <c r="K102" s="12">
        <v>0.5595</v>
      </c>
      <c r="L102" s="12">
        <v>0.4</v>
      </c>
      <c r="M102" s="12">
        <v>0.53720000000000001</v>
      </c>
      <c r="N102" s="12">
        <v>0.48920000000000002</v>
      </c>
      <c r="O102" s="12">
        <v>0.40910000000000002</v>
      </c>
      <c r="P102" s="12">
        <v>0.36559999999999998</v>
      </c>
      <c r="Q102" s="2">
        <v>0.21</v>
      </c>
    </row>
    <row r="103" spans="2:17" ht="33.75">
      <c r="B103" s="68" t="s">
        <v>866</v>
      </c>
      <c r="C103" s="69" t="s">
        <v>101</v>
      </c>
      <c r="D103" s="70" t="s">
        <v>447</v>
      </c>
      <c r="E103" s="71" t="s">
        <v>867</v>
      </c>
      <c r="F103" s="1" t="s">
        <v>1</v>
      </c>
      <c r="G103" s="1" t="s">
        <v>289</v>
      </c>
      <c r="H103" s="1" t="s">
        <v>937</v>
      </c>
      <c r="I103" s="12">
        <v>0.70130000000000003</v>
      </c>
      <c r="J103" s="12">
        <v>0.64810000000000001</v>
      </c>
      <c r="K103" s="12">
        <v>0.5595</v>
      </c>
      <c r="L103" s="12">
        <v>0.4</v>
      </c>
      <c r="M103" s="12">
        <v>0.53720000000000001</v>
      </c>
      <c r="N103" s="12">
        <v>0.48920000000000002</v>
      </c>
      <c r="O103" s="12">
        <v>0.40910000000000002</v>
      </c>
      <c r="P103" s="12">
        <v>0.36559999999999998</v>
      </c>
      <c r="Q103" s="2">
        <v>0.21</v>
      </c>
    </row>
    <row r="104" spans="2:17" ht="33.75">
      <c r="B104" s="68" t="s">
        <v>868</v>
      </c>
      <c r="C104" s="69" t="s">
        <v>102</v>
      </c>
      <c r="D104" s="70" t="s">
        <v>448</v>
      </c>
      <c r="E104" s="71" t="s">
        <v>869</v>
      </c>
      <c r="F104" s="1" t="s">
        <v>1</v>
      </c>
      <c r="G104" s="1" t="s">
        <v>289</v>
      </c>
      <c r="H104" s="1" t="s">
        <v>937</v>
      </c>
      <c r="I104" s="12">
        <v>0.70130000000000003</v>
      </c>
      <c r="J104" s="12">
        <v>0.64810000000000001</v>
      </c>
      <c r="K104" s="12">
        <v>0.5595</v>
      </c>
      <c r="L104" s="12">
        <v>0.4</v>
      </c>
      <c r="M104" s="12">
        <v>0.53720000000000001</v>
      </c>
      <c r="N104" s="12">
        <v>0.48920000000000002</v>
      </c>
      <c r="O104" s="12">
        <v>0.40910000000000002</v>
      </c>
      <c r="P104" s="12">
        <v>0.36559999999999998</v>
      </c>
      <c r="Q104" s="2">
        <v>0.21</v>
      </c>
    </row>
    <row r="105" spans="2:17" ht="33.75">
      <c r="B105" s="68" t="s">
        <v>870</v>
      </c>
      <c r="C105" s="69" t="s">
        <v>103</v>
      </c>
      <c r="D105" s="70" t="s">
        <v>449</v>
      </c>
      <c r="E105" s="71" t="s">
        <v>871</v>
      </c>
      <c r="F105" s="1" t="s">
        <v>1</v>
      </c>
      <c r="G105" s="1" t="s">
        <v>289</v>
      </c>
      <c r="H105" s="1" t="s">
        <v>937</v>
      </c>
      <c r="I105" s="12">
        <v>0.70130000000000003</v>
      </c>
      <c r="J105" s="12">
        <v>0.64810000000000001</v>
      </c>
      <c r="K105" s="12">
        <v>0.5595</v>
      </c>
      <c r="L105" s="12">
        <v>0.4</v>
      </c>
      <c r="M105" s="12">
        <v>0.53720000000000001</v>
      </c>
      <c r="N105" s="12">
        <v>0.48920000000000002</v>
      </c>
      <c r="O105" s="12">
        <v>0.40910000000000002</v>
      </c>
      <c r="P105" s="12">
        <v>0.36559999999999998</v>
      </c>
      <c r="Q105" s="2">
        <v>0.21</v>
      </c>
    </row>
    <row r="106" spans="2:17" ht="33.75">
      <c r="B106" s="68" t="s">
        <v>872</v>
      </c>
      <c r="C106" s="69" t="s">
        <v>104</v>
      </c>
      <c r="D106" s="70" t="s">
        <v>450</v>
      </c>
      <c r="E106" s="71" t="s">
        <v>873</v>
      </c>
      <c r="F106" s="1" t="s">
        <v>1</v>
      </c>
      <c r="G106" s="1" t="s">
        <v>289</v>
      </c>
      <c r="H106" s="1" t="s">
        <v>937</v>
      </c>
      <c r="I106" s="12">
        <v>0.70130000000000003</v>
      </c>
      <c r="J106" s="12">
        <v>0.64810000000000001</v>
      </c>
      <c r="K106" s="12">
        <v>0.5595</v>
      </c>
      <c r="L106" s="12">
        <v>0.4</v>
      </c>
      <c r="M106" s="12">
        <v>0.53720000000000001</v>
      </c>
      <c r="N106" s="12">
        <v>0.48920000000000002</v>
      </c>
      <c r="O106" s="12">
        <v>0.40910000000000002</v>
      </c>
      <c r="P106" s="12">
        <v>0.36559999999999998</v>
      </c>
      <c r="Q106" s="2">
        <v>0.21</v>
      </c>
    </row>
    <row r="107" spans="2:17" ht="33.75">
      <c r="B107" s="68" t="s">
        <v>874</v>
      </c>
      <c r="C107" s="69" t="s">
        <v>105</v>
      </c>
      <c r="D107" s="70" t="s">
        <v>451</v>
      </c>
      <c r="E107" s="71" t="s">
        <v>875</v>
      </c>
      <c r="F107" s="1" t="s">
        <v>1</v>
      </c>
      <c r="G107" s="1" t="s">
        <v>289</v>
      </c>
      <c r="H107" s="1" t="s">
        <v>937</v>
      </c>
      <c r="I107" s="12">
        <v>0.70130000000000003</v>
      </c>
      <c r="J107" s="12">
        <v>0.64810000000000001</v>
      </c>
      <c r="K107" s="12">
        <v>0.5595</v>
      </c>
      <c r="L107" s="12">
        <v>0.4</v>
      </c>
      <c r="M107" s="12">
        <v>0.53720000000000001</v>
      </c>
      <c r="N107" s="12">
        <v>0.48920000000000002</v>
      </c>
      <c r="O107" s="12">
        <v>0.40910000000000002</v>
      </c>
      <c r="P107" s="12">
        <v>0.36559999999999998</v>
      </c>
      <c r="Q107" s="2">
        <v>0.21</v>
      </c>
    </row>
    <row r="108" spans="2:17" ht="33.75">
      <c r="B108" s="68" t="s">
        <v>876</v>
      </c>
      <c r="C108" s="69" t="s">
        <v>106</v>
      </c>
      <c r="D108" s="70" t="s">
        <v>452</v>
      </c>
      <c r="E108" s="71" t="s">
        <v>877</v>
      </c>
      <c r="F108" s="1" t="s">
        <v>1</v>
      </c>
      <c r="G108" s="1" t="s">
        <v>289</v>
      </c>
      <c r="H108" s="1" t="s">
        <v>937</v>
      </c>
      <c r="I108" s="12">
        <v>0.70130000000000003</v>
      </c>
      <c r="J108" s="12">
        <v>0.64810000000000001</v>
      </c>
      <c r="K108" s="12">
        <v>0.5595</v>
      </c>
      <c r="L108" s="12">
        <v>0.4</v>
      </c>
      <c r="M108" s="12">
        <v>0.53720000000000001</v>
      </c>
      <c r="N108" s="12">
        <v>0.48920000000000002</v>
      </c>
      <c r="O108" s="12">
        <v>0.40910000000000002</v>
      </c>
      <c r="P108" s="12">
        <v>0.36559999999999998</v>
      </c>
      <c r="Q108" s="2">
        <v>0.21</v>
      </c>
    </row>
    <row r="109" spans="2:17" ht="33.75">
      <c r="B109" s="68" t="s">
        <v>878</v>
      </c>
      <c r="C109" s="69" t="s">
        <v>107</v>
      </c>
      <c r="D109" s="70" t="s">
        <v>879</v>
      </c>
      <c r="E109" s="71" t="s">
        <v>380</v>
      </c>
      <c r="F109" s="1" t="s">
        <v>1</v>
      </c>
      <c r="G109" s="1" t="s">
        <v>289</v>
      </c>
      <c r="H109" s="1" t="s">
        <v>937</v>
      </c>
      <c r="I109" s="12">
        <v>0.70130000000000003</v>
      </c>
      <c r="J109" s="12">
        <v>0.64810000000000001</v>
      </c>
      <c r="K109" s="12">
        <v>0.5595</v>
      </c>
      <c r="L109" s="12">
        <v>0.4</v>
      </c>
      <c r="M109" s="12">
        <v>0.53720000000000001</v>
      </c>
      <c r="N109" s="12">
        <v>0.48920000000000002</v>
      </c>
      <c r="O109" s="12">
        <v>0.40910000000000002</v>
      </c>
      <c r="P109" s="12">
        <v>0.36559999999999998</v>
      </c>
      <c r="Q109" s="2">
        <v>0.21</v>
      </c>
    </row>
    <row r="110" spans="2:17" ht="33.75">
      <c r="B110" s="68" t="s">
        <v>880</v>
      </c>
      <c r="C110" s="69" t="s">
        <v>108</v>
      </c>
      <c r="D110" s="70" t="s">
        <v>453</v>
      </c>
      <c r="E110" s="71" t="s">
        <v>881</v>
      </c>
      <c r="F110" s="1" t="s">
        <v>1</v>
      </c>
      <c r="G110" s="1" t="s">
        <v>289</v>
      </c>
      <c r="H110" s="1" t="s">
        <v>937</v>
      </c>
      <c r="I110" s="12">
        <v>0.70130000000000003</v>
      </c>
      <c r="J110" s="12">
        <v>0.64810000000000001</v>
      </c>
      <c r="K110" s="12">
        <v>0.5595</v>
      </c>
      <c r="L110" s="12">
        <v>0.4</v>
      </c>
      <c r="M110" s="12">
        <v>0.53720000000000001</v>
      </c>
      <c r="N110" s="12">
        <v>0.48920000000000002</v>
      </c>
      <c r="O110" s="12">
        <v>0.40910000000000002</v>
      </c>
      <c r="P110" s="12">
        <v>0.36559999999999998</v>
      </c>
      <c r="Q110" s="2">
        <v>0.21</v>
      </c>
    </row>
    <row r="111" spans="2:17" ht="33.75">
      <c r="B111" s="68" t="s">
        <v>882</v>
      </c>
      <c r="C111" s="69" t="s">
        <v>109</v>
      </c>
      <c r="D111" s="70" t="s">
        <v>883</v>
      </c>
      <c r="E111" s="71" t="s">
        <v>884</v>
      </c>
      <c r="F111" s="1" t="s">
        <v>1</v>
      </c>
      <c r="G111" s="1" t="s">
        <v>289</v>
      </c>
      <c r="H111" s="1" t="s">
        <v>937</v>
      </c>
      <c r="I111" s="12">
        <v>0.70130000000000003</v>
      </c>
      <c r="J111" s="12">
        <v>0.64810000000000001</v>
      </c>
      <c r="K111" s="12">
        <v>0.5595</v>
      </c>
      <c r="L111" s="12">
        <v>0.4</v>
      </c>
      <c r="M111" s="12">
        <v>0.53720000000000001</v>
      </c>
      <c r="N111" s="12">
        <v>0.48920000000000002</v>
      </c>
      <c r="O111" s="12">
        <v>0.40910000000000002</v>
      </c>
      <c r="P111" s="12">
        <v>0.36559999999999998</v>
      </c>
      <c r="Q111" s="2">
        <v>0.21</v>
      </c>
    </row>
    <row r="112" spans="2:17" ht="33.75">
      <c r="B112" s="68" t="s">
        <v>885</v>
      </c>
      <c r="C112" s="69" t="s">
        <v>110</v>
      </c>
      <c r="D112" s="70" t="s">
        <v>454</v>
      </c>
      <c r="E112" s="71" t="s">
        <v>886</v>
      </c>
      <c r="F112" s="1" t="s">
        <v>1</v>
      </c>
      <c r="G112" s="1" t="s">
        <v>289</v>
      </c>
      <c r="H112" s="1" t="s">
        <v>937</v>
      </c>
      <c r="I112" s="12">
        <v>0.70130000000000003</v>
      </c>
      <c r="J112" s="12">
        <v>0.64810000000000001</v>
      </c>
      <c r="K112" s="12">
        <v>0.5595</v>
      </c>
      <c r="L112" s="12">
        <v>0.4</v>
      </c>
      <c r="M112" s="12">
        <v>0.53720000000000001</v>
      </c>
      <c r="N112" s="12">
        <v>0.48920000000000002</v>
      </c>
      <c r="O112" s="12">
        <v>0.40910000000000002</v>
      </c>
      <c r="P112" s="12">
        <v>0.36559999999999998</v>
      </c>
      <c r="Q112" s="2">
        <v>0.21</v>
      </c>
    </row>
    <row r="113" spans="2:17" ht="33.75">
      <c r="B113" s="68" t="s">
        <v>887</v>
      </c>
      <c r="C113" s="69" t="s">
        <v>111</v>
      </c>
      <c r="D113" s="70" t="s">
        <v>455</v>
      </c>
      <c r="E113" s="71" t="s">
        <v>888</v>
      </c>
      <c r="F113" s="1" t="s">
        <v>1</v>
      </c>
      <c r="G113" s="1" t="s">
        <v>289</v>
      </c>
      <c r="H113" s="1" t="s">
        <v>937</v>
      </c>
      <c r="I113" s="12">
        <v>0.70130000000000003</v>
      </c>
      <c r="J113" s="12">
        <v>0.64810000000000001</v>
      </c>
      <c r="K113" s="12">
        <v>0.5595</v>
      </c>
      <c r="L113" s="12">
        <v>0.4</v>
      </c>
      <c r="M113" s="12">
        <v>0.53720000000000001</v>
      </c>
      <c r="N113" s="12">
        <v>0.48920000000000002</v>
      </c>
      <c r="O113" s="12">
        <v>0.40910000000000002</v>
      </c>
      <c r="P113" s="12">
        <v>0.36559999999999998</v>
      </c>
      <c r="Q113" s="2">
        <v>0.21</v>
      </c>
    </row>
    <row r="114" spans="2:17" ht="33.75">
      <c r="B114" s="68" t="s">
        <v>889</v>
      </c>
      <c r="C114" s="69" t="s">
        <v>112</v>
      </c>
      <c r="D114" s="70" t="s">
        <v>456</v>
      </c>
      <c r="E114" s="71" t="s">
        <v>890</v>
      </c>
      <c r="F114" s="1" t="s">
        <v>1</v>
      </c>
      <c r="G114" s="1" t="s">
        <v>289</v>
      </c>
      <c r="H114" s="1" t="s">
        <v>937</v>
      </c>
      <c r="I114" s="12">
        <v>0.70130000000000003</v>
      </c>
      <c r="J114" s="12">
        <v>0.64810000000000001</v>
      </c>
      <c r="K114" s="12">
        <v>0.5595</v>
      </c>
      <c r="L114" s="12">
        <v>0.4</v>
      </c>
      <c r="M114" s="12">
        <v>0.53720000000000001</v>
      </c>
      <c r="N114" s="12">
        <v>0.48920000000000002</v>
      </c>
      <c r="O114" s="12">
        <v>0.40910000000000002</v>
      </c>
      <c r="P114" s="12">
        <v>0.36559999999999998</v>
      </c>
      <c r="Q114" s="2">
        <v>0.21</v>
      </c>
    </row>
    <row r="115" spans="2:17" ht="33.75">
      <c r="B115" s="68" t="s">
        <v>891</v>
      </c>
      <c r="C115" s="69" t="s">
        <v>113</v>
      </c>
      <c r="D115" s="70" t="s">
        <v>457</v>
      </c>
      <c r="E115" s="71" t="s">
        <v>892</v>
      </c>
      <c r="F115" s="1" t="s">
        <v>1</v>
      </c>
      <c r="G115" s="1" t="s">
        <v>289</v>
      </c>
      <c r="H115" s="1" t="s">
        <v>937</v>
      </c>
      <c r="I115" s="12">
        <v>0.70130000000000003</v>
      </c>
      <c r="J115" s="12">
        <v>0.64810000000000001</v>
      </c>
      <c r="K115" s="12">
        <v>0.5595</v>
      </c>
      <c r="L115" s="12">
        <v>0.4</v>
      </c>
      <c r="M115" s="12">
        <v>0.53720000000000001</v>
      </c>
      <c r="N115" s="12">
        <v>0.48920000000000002</v>
      </c>
      <c r="O115" s="12">
        <v>0.40910000000000002</v>
      </c>
      <c r="P115" s="12">
        <v>0.36559999999999998</v>
      </c>
      <c r="Q115" s="2">
        <v>0.21</v>
      </c>
    </row>
    <row r="116" spans="2:17" ht="33.75">
      <c r="B116" s="68" t="s">
        <v>893</v>
      </c>
      <c r="C116" s="69" t="s">
        <v>114</v>
      </c>
      <c r="D116" s="70" t="s">
        <v>458</v>
      </c>
      <c r="E116" s="71" t="s">
        <v>894</v>
      </c>
      <c r="F116" s="1" t="s">
        <v>1</v>
      </c>
      <c r="G116" s="1" t="s">
        <v>289</v>
      </c>
      <c r="H116" s="1" t="s">
        <v>937</v>
      </c>
      <c r="I116" s="12">
        <v>0.70130000000000003</v>
      </c>
      <c r="J116" s="12">
        <v>0.64810000000000001</v>
      </c>
      <c r="K116" s="12">
        <v>0.5595</v>
      </c>
      <c r="L116" s="12">
        <v>0.4</v>
      </c>
      <c r="M116" s="12">
        <v>0.53720000000000001</v>
      </c>
      <c r="N116" s="12">
        <v>0.48920000000000002</v>
      </c>
      <c r="O116" s="12">
        <v>0.40910000000000002</v>
      </c>
      <c r="P116" s="12">
        <v>0.36559999999999998</v>
      </c>
      <c r="Q116" s="2">
        <v>0.21</v>
      </c>
    </row>
    <row r="117" spans="2:17" ht="33.75">
      <c r="B117" s="68" t="s">
        <v>895</v>
      </c>
      <c r="C117" s="69" t="s">
        <v>115</v>
      </c>
      <c r="D117" s="70" t="s">
        <v>459</v>
      </c>
      <c r="E117" s="71" t="s">
        <v>896</v>
      </c>
      <c r="F117" s="1" t="s">
        <v>1</v>
      </c>
      <c r="G117" s="1" t="s">
        <v>289</v>
      </c>
      <c r="H117" s="1" t="s">
        <v>937</v>
      </c>
      <c r="I117" s="12">
        <v>0.70130000000000003</v>
      </c>
      <c r="J117" s="12">
        <v>0.64810000000000001</v>
      </c>
      <c r="K117" s="12">
        <v>0.5595</v>
      </c>
      <c r="L117" s="12">
        <v>0.4</v>
      </c>
      <c r="M117" s="12">
        <v>0.53720000000000001</v>
      </c>
      <c r="N117" s="12">
        <v>0.48920000000000002</v>
      </c>
      <c r="O117" s="12">
        <v>0.40910000000000002</v>
      </c>
      <c r="P117" s="12">
        <v>0.36559999999999998</v>
      </c>
      <c r="Q117" s="2">
        <v>0.21</v>
      </c>
    </row>
    <row r="118" spans="2:17" ht="33.75">
      <c r="B118" s="68" t="s">
        <v>897</v>
      </c>
      <c r="C118" s="69" t="s">
        <v>116</v>
      </c>
      <c r="D118" s="70" t="s">
        <v>460</v>
      </c>
      <c r="E118" s="71" t="s">
        <v>898</v>
      </c>
      <c r="F118" s="1" t="s">
        <v>1</v>
      </c>
      <c r="G118" s="1" t="s">
        <v>289</v>
      </c>
      <c r="H118" s="1" t="s">
        <v>937</v>
      </c>
      <c r="I118" s="12">
        <v>0.70130000000000003</v>
      </c>
      <c r="J118" s="12">
        <v>0.64810000000000001</v>
      </c>
      <c r="K118" s="12">
        <v>0.5595</v>
      </c>
      <c r="L118" s="12">
        <v>0.4</v>
      </c>
      <c r="M118" s="12">
        <v>0.53720000000000001</v>
      </c>
      <c r="N118" s="12">
        <v>0.48920000000000002</v>
      </c>
      <c r="O118" s="12">
        <v>0.40910000000000002</v>
      </c>
      <c r="P118" s="12">
        <v>0.36559999999999998</v>
      </c>
      <c r="Q118" s="2">
        <v>0.21</v>
      </c>
    </row>
    <row r="119" spans="2:17" ht="33.75">
      <c r="B119" s="68" t="s">
        <v>899</v>
      </c>
      <c r="C119" s="69" t="s">
        <v>117</v>
      </c>
      <c r="D119" s="70" t="s">
        <v>461</v>
      </c>
      <c r="E119" s="71" t="s">
        <v>900</v>
      </c>
      <c r="F119" s="1" t="s">
        <v>1</v>
      </c>
      <c r="G119" s="1" t="s">
        <v>289</v>
      </c>
      <c r="H119" s="1" t="s">
        <v>937</v>
      </c>
      <c r="I119" s="12">
        <v>0.70130000000000003</v>
      </c>
      <c r="J119" s="12">
        <v>0.64810000000000001</v>
      </c>
      <c r="K119" s="12">
        <v>0.5595</v>
      </c>
      <c r="L119" s="12">
        <v>0.4</v>
      </c>
      <c r="M119" s="12">
        <v>0.53720000000000001</v>
      </c>
      <c r="N119" s="12">
        <v>0.48920000000000002</v>
      </c>
      <c r="O119" s="12">
        <v>0.40910000000000002</v>
      </c>
      <c r="P119" s="12">
        <v>0.36559999999999998</v>
      </c>
      <c r="Q119" s="2">
        <v>0.21</v>
      </c>
    </row>
    <row r="120" spans="2:17" ht="33.75">
      <c r="B120" s="68" t="s">
        <v>901</v>
      </c>
      <c r="C120" s="69" t="s">
        <v>118</v>
      </c>
      <c r="D120" s="70" t="s">
        <v>462</v>
      </c>
      <c r="E120" s="71" t="s">
        <v>902</v>
      </c>
      <c r="F120" s="1" t="s">
        <v>1</v>
      </c>
      <c r="G120" s="1" t="s">
        <v>289</v>
      </c>
      <c r="H120" s="1" t="s">
        <v>937</v>
      </c>
      <c r="I120" s="12">
        <v>0.70130000000000003</v>
      </c>
      <c r="J120" s="12">
        <v>0.64810000000000001</v>
      </c>
      <c r="K120" s="12">
        <v>0.5595</v>
      </c>
      <c r="L120" s="12">
        <v>0.4</v>
      </c>
      <c r="M120" s="12">
        <v>0.53720000000000001</v>
      </c>
      <c r="N120" s="12">
        <v>0.48920000000000002</v>
      </c>
      <c r="O120" s="12">
        <v>0.40910000000000002</v>
      </c>
      <c r="P120" s="12">
        <v>0.36559999999999998</v>
      </c>
      <c r="Q120" s="2">
        <v>0.21</v>
      </c>
    </row>
    <row r="121" spans="2:17" ht="33.75">
      <c r="B121" s="68" t="s">
        <v>903</v>
      </c>
      <c r="C121" s="69" t="s">
        <v>119</v>
      </c>
      <c r="D121" s="70" t="s">
        <v>463</v>
      </c>
      <c r="E121" s="71" t="s">
        <v>904</v>
      </c>
      <c r="F121" s="1" t="s">
        <v>1</v>
      </c>
      <c r="G121" s="1" t="s">
        <v>289</v>
      </c>
      <c r="H121" s="1" t="s">
        <v>937</v>
      </c>
      <c r="I121" s="12">
        <v>0.70130000000000003</v>
      </c>
      <c r="J121" s="12">
        <v>0.64810000000000001</v>
      </c>
      <c r="K121" s="12">
        <v>0.5595</v>
      </c>
      <c r="L121" s="12">
        <v>0.4</v>
      </c>
      <c r="M121" s="12">
        <v>0.53720000000000001</v>
      </c>
      <c r="N121" s="12">
        <v>0.48920000000000002</v>
      </c>
      <c r="O121" s="12">
        <v>0.40910000000000002</v>
      </c>
      <c r="P121" s="12">
        <v>0.36559999999999998</v>
      </c>
      <c r="Q121" s="2">
        <v>0.21</v>
      </c>
    </row>
    <row r="122" spans="2:17" ht="33.75">
      <c r="B122" s="68" t="s">
        <v>905</v>
      </c>
      <c r="C122" s="69" t="s">
        <v>120</v>
      </c>
      <c r="D122" s="70" t="s">
        <v>467</v>
      </c>
      <c r="E122" s="71" t="s">
        <v>381</v>
      </c>
      <c r="F122" s="1" t="s">
        <v>1</v>
      </c>
      <c r="G122" s="1" t="s">
        <v>289</v>
      </c>
      <c r="H122" s="1" t="s">
        <v>937</v>
      </c>
      <c r="I122" s="12">
        <v>0.70130000000000003</v>
      </c>
      <c r="J122" s="12">
        <v>0.64810000000000001</v>
      </c>
      <c r="K122" s="12">
        <v>0.5595</v>
      </c>
      <c r="L122" s="12">
        <v>0.4</v>
      </c>
      <c r="M122" s="12">
        <v>0.53720000000000001</v>
      </c>
      <c r="N122" s="12">
        <v>0.48920000000000002</v>
      </c>
      <c r="O122" s="12">
        <v>0.40910000000000002</v>
      </c>
      <c r="P122" s="12">
        <v>0.36559999999999998</v>
      </c>
      <c r="Q122" s="2">
        <v>0.21</v>
      </c>
    </row>
    <row r="123" spans="2:17" ht="33.75">
      <c r="B123" s="68" t="s">
        <v>906</v>
      </c>
      <c r="C123" s="69" t="s">
        <v>121</v>
      </c>
      <c r="D123" s="70" t="s">
        <v>335</v>
      </c>
      <c r="E123" s="71" t="s">
        <v>907</v>
      </c>
      <c r="F123" s="1" t="s">
        <v>1</v>
      </c>
      <c r="G123" s="1" t="s">
        <v>289</v>
      </c>
      <c r="H123" s="1" t="s">
        <v>937</v>
      </c>
      <c r="I123" s="12">
        <v>0.70130000000000003</v>
      </c>
      <c r="J123" s="12">
        <v>0.64810000000000001</v>
      </c>
      <c r="K123" s="12">
        <v>0.5595</v>
      </c>
      <c r="L123" s="12">
        <v>0.4</v>
      </c>
      <c r="M123" s="12">
        <v>0.53720000000000001</v>
      </c>
      <c r="N123" s="12">
        <v>0.48920000000000002</v>
      </c>
      <c r="O123" s="12">
        <v>0.40910000000000002</v>
      </c>
      <c r="P123" s="12">
        <v>0.36559999999999998</v>
      </c>
      <c r="Q123" s="2">
        <v>0.21</v>
      </c>
    </row>
    <row r="124" spans="2:17" ht="33.75">
      <c r="B124" s="68" t="s">
        <v>908</v>
      </c>
      <c r="C124" s="69" t="s">
        <v>122</v>
      </c>
      <c r="D124" s="70" t="s">
        <v>468</v>
      </c>
      <c r="E124" s="71" t="s">
        <v>909</v>
      </c>
      <c r="F124" s="1" t="s">
        <v>1</v>
      </c>
      <c r="G124" s="1" t="s">
        <v>289</v>
      </c>
      <c r="H124" s="1" t="s">
        <v>937</v>
      </c>
      <c r="I124" s="12">
        <v>0.70130000000000003</v>
      </c>
      <c r="J124" s="12">
        <v>0.64810000000000001</v>
      </c>
      <c r="K124" s="12">
        <v>0.5595</v>
      </c>
      <c r="L124" s="12">
        <v>0.4</v>
      </c>
      <c r="M124" s="12">
        <v>0.53720000000000001</v>
      </c>
      <c r="N124" s="12">
        <v>0.48920000000000002</v>
      </c>
      <c r="O124" s="12">
        <v>0.40910000000000002</v>
      </c>
      <c r="P124" s="12">
        <v>0.36559999999999998</v>
      </c>
      <c r="Q124" s="2">
        <v>0.21</v>
      </c>
    </row>
    <row r="125" spans="2:17" ht="33.75">
      <c r="B125" s="68" t="s">
        <v>910</v>
      </c>
      <c r="C125" s="69" t="s">
        <v>123</v>
      </c>
      <c r="D125" s="70" t="s">
        <v>367</v>
      </c>
      <c r="E125" s="71" t="s">
        <v>911</v>
      </c>
      <c r="F125" s="1" t="s">
        <v>1</v>
      </c>
      <c r="G125" s="1" t="s">
        <v>289</v>
      </c>
      <c r="H125" s="1" t="s">
        <v>937</v>
      </c>
      <c r="I125" s="12">
        <v>0.70130000000000003</v>
      </c>
      <c r="J125" s="12">
        <v>0.64810000000000001</v>
      </c>
      <c r="K125" s="12">
        <v>0.5595</v>
      </c>
      <c r="L125" s="12">
        <v>0.4</v>
      </c>
      <c r="M125" s="12">
        <v>0.53720000000000001</v>
      </c>
      <c r="N125" s="12">
        <v>0.48920000000000002</v>
      </c>
      <c r="O125" s="12">
        <v>0.40910000000000002</v>
      </c>
      <c r="P125" s="12">
        <v>0.36559999999999998</v>
      </c>
      <c r="Q125" s="2">
        <v>0.21</v>
      </c>
    </row>
    <row r="126" spans="2:17" ht="33.75">
      <c r="B126" s="68" t="s">
        <v>912</v>
      </c>
      <c r="C126" s="69" t="s">
        <v>124</v>
      </c>
      <c r="D126" s="70" t="s">
        <v>469</v>
      </c>
      <c r="E126" s="71" t="s">
        <v>913</v>
      </c>
      <c r="F126" s="1" t="s">
        <v>1</v>
      </c>
      <c r="G126" s="1" t="s">
        <v>289</v>
      </c>
      <c r="H126" s="1" t="s">
        <v>937</v>
      </c>
      <c r="I126" s="12">
        <v>0.70130000000000003</v>
      </c>
      <c r="J126" s="12">
        <v>0.64810000000000001</v>
      </c>
      <c r="K126" s="12">
        <v>0.5595</v>
      </c>
      <c r="L126" s="12">
        <v>0.4</v>
      </c>
      <c r="M126" s="12">
        <v>0.53720000000000001</v>
      </c>
      <c r="N126" s="12">
        <v>0.48920000000000002</v>
      </c>
      <c r="O126" s="12">
        <v>0.40910000000000002</v>
      </c>
      <c r="P126" s="12">
        <v>0.36559999999999998</v>
      </c>
      <c r="Q126" s="2">
        <v>0.21</v>
      </c>
    </row>
    <row r="127" spans="2:17" ht="45">
      <c r="B127" s="68" t="s">
        <v>914</v>
      </c>
      <c r="C127" s="69" t="s">
        <v>125</v>
      </c>
      <c r="D127" s="70" t="s">
        <v>470</v>
      </c>
      <c r="E127" s="71" t="s">
        <v>915</v>
      </c>
      <c r="F127" s="1" t="s">
        <v>1</v>
      </c>
      <c r="G127" s="1" t="s">
        <v>289</v>
      </c>
      <c r="H127" s="1" t="s">
        <v>937</v>
      </c>
      <c r="I127" s="12">
        <v>0.70130000000000003</v>
      </c>
      <c r="J127" s="12">
        <v>0.64810000000000001</v>
      </c>
      <c r="K127" s="12">
        <v>0.5595</v>
      </c>
      <c r="L127" s="12">
        <v>0.4</v>
      </c>
      <c r="M127" s="12">
        <v>0.53720000000000001</v>
      </c>
      <c r="N127" s="12">
        <v>0.48920000000000002</v>
      </c>
      <c r="O127" s="12">
        <v>0.40910000000000002</v>
      </c>
      <c r="P127" s="12">
        <v>0.36559999999999998</v>
      </c>
      <c r="Q127" s="2">
        <v>0.21</v>
      </c>
    </row>
    <row r="128" spans="2:17" ht="33.75">
      <c r="B128" s="68" t="s">
        <v>916</v>
      </c>
      <c r="C128" s="69" t="s">
        <v>126</v>
      </c>
      <c r="D128" s="70" t="s">
        <v>471</v>
      </c>
      <c r="E128" s="71" t="s">
        <v>917</v>
      </c>
      <c r="F128" s="1" t="s">
        <v>1</v>
      </c>
      <c r="G128" s="1" t="s">
        <v>289</v>
      </c>
      <c r="H128" s="1" t="s">
        <v>937</v>
      </c>
      <c r="I128" s="12">
        <v>0.70130000000000003</v>
      </c>
      <c r="J128" s="12">
        <v>0.64810000000000001</v>
      </c>
      <c r="K128" s="12">
        <v>0.5595</v>
      </c>
      <c r="L128" s="12">
        <v>0.4</v>
      </c>
      <c r="M128" s="12">
        <v>0.53720000000000001</v>
      </c>
      <c r="N128" s="12">
        <v>0.48920000000000002</v>
      </c>
      <c r="O128" s="12">
        <v>0.40910000000000002</v>
      </c>
      <c r="P128" s="12">
        <v>0.36559999999999998</v>
      </c>
      <c r="Q128" s="2">
        <v>0.21</v>
      </c>
    </row>
    <row r="129" spans="2:17" ht="33.75">
      <c r="B129" s="68" t="s">
        <v>918</v>
      </c>
      <c r="C129" s="69" t="s">
        <v>127</v>
      </c>
      <c r="D129" s="70" t="s">
        <v>472</v>
      </c>
      <c r="E129" s="71" t="s">
        <v>919</v>
      </c>
      <c r="F129" s="1" t="s">
        <v>1</v>
      </c>
      <c r="G129" s="1" t="s">
        <v>289</v>
      </c>
      <c r="H129" s="1" t="s">
        <v>937</v>
      </c>
      <c r="I129" s="12">
        <v>0.70130000000000003</v>
      </c>
      <c r="J129" s="12">
        <v>0.64810000000000001</v>
      </c>
      <c r="K129" s="12">
        <v>0.5595</v>
      </c>
      <c r="L129" s="12">
        <v>0.4</v>
      </c>
      <c r="M129" s="12">
        <v>0.53720000000000001</v>
      </c>
      <c r="N129" s="12">
        <v>0.48920000000000002</v>
      </c>
      <c r="O129" s="12">
        <v>0.40910000000000002</v>
      </c>
      <c r="P129" s="12">
        <v>0.36559999999999998</v>
      </c>
      <c r="Q129" s="2">
        <v>0.21</v>
      </c>
    </row>
    <row r="130" spans="2:17" ht="33.75">
      <c r="B130" s="68" t="s">
        <v>920</v>
      </c>
      <c r="C130" s="69" t="s">
        <v>128</v>
      </c>
      <c r="D130" s="70" t="s">
        <v>473</v>
      </c>
      <c r="E130" s="71" t="s">
        <v>921</v>
      </c>
      <c r="F130" s="1" t="s">
        <v>1</v>
      </c>
      <c r="G130" s="1" t="s">
        <v>289</v>
      </c>
      <c r="H130" s="1" t="s">
        <v>937</v>
      </c>
      <c r="I130" s="12">
        <v>0.70130000000000003</v>
      </c>
      <c r="J130" s="12">
        <v>0.64810000000000001</v>
      </c>
      <c r="K130" s="12">
        <v>0.5595</v>
      </c>
      <c r="L130" s="12">
        <v>0.4</v>
      </c>
      <c r="M130" s="12">
        <v>0.53720000000000001</v>
      </c>
      <c r="N130" s="12">
        <v>0.48920000000000002</v>
      </c>
      <c r="O130" s="12">
        <v>0.40910000000000002</v>
      </c>
      <c r="P130" s="12">
        <v>0.36559999999999998</v>
      </c>
      <c r="Q130" s="2">
        <v>0.21</v>
      </c>
    </row>
    <row r="131" spans="2:17" ht="33.75">
      <c r="B131" s="68" t="s">
        <v>922</v>
      </c>
      <c r="C131" s="69" t="s">
        <v>129</v>
      </c>
      <c r="D131" s="70" t="s">
        <v>324</v>
      </c>
      <c r="E131" s="71" t="s">
        <v>923</v>
      </c>
      <c r="F131" s="1" t="s">
        <v>1</v>
      </c>
      <c r="G131" s="1" t="s">
        <v>289</v>
      </c>
      <c r="H131" s="1" t="s">
        <v>937</v>
      </c>
      <c r="I131" s="12">
        <v>0.70130000000000003</v>
      </c>
      <c r="J131" s="12">
        <v>0.64810000000000001</v>
      </c>
      <c r="K131" s="12">
        <v>0.5595</v>
      </c>
      <c r="L131" s="12">
        <v>0.4</v>
      </c>
      <c r="M131" s="12">
        <v>0.53720000000000001</v>
      </c>
      <c r="N131" s="12">
        <v>0.48920000000000002</v>
      </c>
      <c r="O131" s="12">
        <v>0.40910000000000002</v>
      </c>
      <c r="P131" s="12">
        <v>0.36559999999999998</v>
      </c>
      <c r="Q131" s="2">
        <v>0.21</v>
      </c>
    </row>
    <row r="132" spans="2:17" ht="33.75">
      <c r="B132" s="68" t="s">
        <v>924</v>
      </c>
      <c r="C132" s="69" t="s">
        <v>130</v>
      </c>
      <c r="D132" s="70" t="s">
        <v>474</v>
      </c>
      <c r="E132" s="71" t="s">
        <v>925</v>
      </c>
      <c r="F132" s="1" t="s">
        <v>1</v>
      </c>
      <c r="G132" s="1" t="s">
        <v>289</v>
      </c>
      <c r="H132" s="1" t="s">
        <v>937</v>
      </c>
      <c r="I132" s="12">
        <v>0.70130000000000003</v>
      </c>
      <c r="J132" s="12">
        <v>0.64810000000000001</v>
      </c>
      <c r="K132" s="12">
        <v>0.5595</v>
      </c>
      <c r="L132" s="12">
        <v>0.4</v>
      </c>
      <c r="M132" s="12">
        <v>0.53720000000000001</v>
      </c>
      <c r="N132" s="12">
        <v>0.48920000000000002</v>
      </c>
      <c r="O132" s="12">
        <v>0.40910000000000002</v>
      </c>
      <c r="P132" s="12">
        <v>0.36559999999999998</v>
      </c>
      <c r="Q132" s="2">
        <v>0.21</v>
      </c>
    </row>
    <row r="133" spans="2:17" ht="33.75">
      <c r="B133" s="68" t="s">
        <v>926</v>
      </c>
      <c r="C133" s="69" t="s">
        <v>131</v>
      </c>
      <c r="D133" s="70" t="s">
        <v>475</v>
      </c>
      <c r="E133" s="71" t="s">
        <v>927</v>
      </c>
      <c r="F133" s="1" t="s">
        <v>1</v>
      </c>
      <c r="G133" s="1" t="s">
        <v>289</v>
      </c>
      <c r="H133" s="1" t="s">
        <v>937</v>
      </c>
      <c r="I133" s="12">
        <v>0.70130000000000003</v>
      </c>
      <c r="J133" s="12">
        <v>0.64810000000000001</v>
      </c>
      <c r="K133" s="12">
        <v>0.5595</v>
      </c>
      <c r="L133" s="12">
        <v>0.4</v>
      </c>
      <c r="M133" s="12">
        <v>0.53720000000000001</v>
      </c>
      <c r="N133" s="12">
        <v>0.48920000000000002</v>
      </c>
      <c r="O133" s="12">
        <v>0.40910000000000002</v>
      </c>
      <c r="P133" s="12">
        <v>0.36559999999999998</v>
      </c>
      <c r="Q133" s="2">
        <v>0.21</v>
      </c>
    </row>
    <row r="134" spans="2:17" ht="33.75">
      <c r="B134" s="68" t="s">
        <v>928</v>
      </c>
      <c r="C134" s="69" t="s">
        <v>132</v>
      </c>
      <c r="D134" s="70" t="s">
        <v>476</v>
      </c>
      <c r="E134" s="71" t="s">
        <v>929</v>
      </c>
      <c r="F134" s="1" t="s">
        <v>1</v>
      </c>
      <c r="G134" s="1" t="s">
        <v>289</v>
      </c>
      <c r="H134" s="1" t="s">
        <v>937</v>
      </c>
      <c r="I134" s="12">
        <v>0.70130000000000003</v>
      </c>
      <c r="J134" s="12">
        <v>0.64810000000000001</v>
      </c>
      <c r="K134" s="12">
        <v>0.5595</v>
      </c>
      <c r="L134" s="12">
        <v>0.4</v>
      </c>
      <c r="M134" s="12">
        <v>0.53720000000000001</v>
      </c>
      <c r="N134" s="12">
        <v>0.48920000000000002</v>
      </c>
      <c r="O134" s="12">
        <v>0.40910000000000002</v>
      </c>
      <c r="P134" s="12">
        <v>0.36559999999999998</v>
      </c>
      <c r="Q134" s="2">
        <v>0.21</v>
      </c>
    </row>
    <row r="135" spans="2:17" ht="33.75">
      <c r="B135" s="68" t="s">
        <v>930</v>
      </c>
      <c r="C135" s="69" t="s">
        <v>133</v>
      </c>
      <c r="D135" s="70" t="s">
        <v>477</v>
      </c>
      <c r="E135" s="71" t="s">
        <v>931</v>
      </c>
      <c r="F135" s="1" t="s">
        <v>1</v>
      </c>
      <c r="G135" s="1" t="s">
        <v>289</v>
      </c>
      <c r="H135" s="1" t="s">
        <v>937</v>
      </c>
      <c r="I135" s="12">
        <v>0.70130000000000003</v>
      </c>
      <c r="J135" s="12">
        <v>0.64810000000000001</v>
      </c>
      <c r="K135" s="12">
        <v>0.5595</v>
      </c>
      <c r="L135" s="12">
        <v>0.4</v>
      </c>
      <c r="M135" s="12">
        <v>0.53720000000000001</v>
      </c>
      <c r="N135" s="12">
        <v>0.48920000000000002</v>
      </c>
      <c r="O135" s="12">
        <v>0.40910000000000002</v>
      </c>
      <c r="P135" s="12">
        <v>0.36559999999999998</v>
      </c>
      <c r="Q135" s="2">
        <v>0.21</v>
      </c>
    </row>
    <row r="136" spans="2:17" ht="33.75">
      <c r="B136" s="68" t="s">
        <v>932</v>
      </c>
      <c r="C136" s="69" t="s">
        <v>134</v>
      </c>
      <c r="D136" s="69" t="s">
        <v>478</v>
      </c>
      <c r="E136" s="72" t="s">
        <v>382</v>
      </c>
      <c r="F136" s="1" t="s">
        <v>1</v>
      </c>
      <c r="G136" s="1" t="s">
        <v>289</v>
      </c>
      <c r="H136" s="1" t="s">
        <v>937</v>
      </c>
      <c r="I136" s="12">
        <v>0.70130000000000003</v>
      </c>
      <c r="J136" s="12">
        <v>0.64810000000000001</v>
      </c>
      <c r="K136" s="12">
        <v>0.5595</v>
      </c>
      <c r="L136" s="12">
        <v>0.4</v>
      </c>
      <c r="M136" s="12">
        <v>0.53720000000000001</v>
      </c>
      <c r="N136" s="12">
        <v>0.48920000000000002</v>
      </c>
      <c r="O136" s="12">
        <v>0.40910000000000002</v>
      </c>
      <c r="P136" s="12">
        <v>0.36559999999999998</v>
      </c>
      <c r="Q136" s="2">
        <v>0.21</v>
      </c>
    </row>
    <row r="137" spans="2:17" ht="45">
      <c r="B137" s="68" t="s">
        <v>933</v>
      </c>
      <c r="C137" s="69" t="s">
        <v>135</v>
      </c>
      <c r="D137" s="69" t="s">
        <v>479</v>
      </c>
      <c r="E137" s="72" t="s">
        <v>383</v>
      </c>
      <c r="F137" s="1" t="s">
        <v>1</v>
      </c>
      <c r="G137" s="1" t="s">
        <v>289</v>
      </c>
      <c r="H137" s="1" t="s">
        <v>937</v>
      </c>
      <c r="I137" s="12">
        <v>0.70130000000000003</v>
      </c>
      <c r="J137" s="12">
        <v>0.64810000000000001</v>
      </c>
      <c r="K137" s="12">
        <v>0.5595</v>
      </c>
      <c r="L137" s="12">
        <v>0.4</v>
      </c>
      <c r="M137" s="12">
        <v>0.53720000000000001</v>
      </c>
      <c r="N137" s="12">
        <v>0.48920000000000002</v>
      </c>
      <c r="O137" s="12">
        <v>0.40910000000000002</v>
      </c>
      <c r="P137" s="12">
        <v>0.36559999999999998</v>
      </c>
      <c r="Q137" s="2">
        <v>0.21</v>
      </c>
    </row>
    <row r="138" spans="2:17" ht="90">
      <c r="B138" s="68" t="s">
        <v>934</v>
      </c>
      <c r="C138" s="69" t="s">
        <v>136</v>
      </c>
      <c r="D138" s="69" t="s">
        <v>480</v>
      </c>
      <c r="E138" s="72" t="s">
        <v>384</v>
      </c>
      <c r="F138" s="1" t="s">
        <v>1</v>
      </c>
      <c r="G138" s="1" t="s">
        <v>289</v>
      </c>
      <c r="H138" s="1" t="s">
        <v>937</v>
      </c>
      <c r="I138" s="12">
        <v>0.70130000000000003</v>
      </c>
      <c r="J138" s="12">
        <v>0.64810000000000001</v>
      </c>
      <c r="K138" s="12">
        <v>0.5595</v>
      </c>
      <c r="L138" s="12">
        <v>0.4</v>
      </c>
      <c r="M138" s="12">
        <v>0.53720000000000001</v>
      </c>
      <c r="N138" s="12">
        <v>0.48920000000000002</v>
      </c>
      <c r="O138" s="12">
        <v>0.40910000000000002</v>
      </c>
      <c r="P138" s="12">
        <v>0.36559999999999998</v>
      </c>
      <c r="Q138" s="2">
        <v>0.21</v>
      </c>
    </row>
    <row r="139" spans="2:17" ht="60">
      <c r="B139" s="73" t="s">
        <v>935</v>
      </c>
      <c r="C139" s="69" t="s">
        <v>137</v>
      </c>
      <c r="D139" s="69"/>
      <c r="E139" s="72" t="s">
        <v>385</v>
      </c>
      <c r="F139" s="1" t="s">
        <v>1</v>
      </c>
      <c r="G139" s="1" t="s">
        <v>289</v>
      </c>
      <c r="H139" s="1" t="s">
        <v>937</v>
      </c>
      <c r="I139" s="12">
        <v>0.70130000000000003</v>
      </c>
      <c r="J139" s="12">
        <v>0.64810000000000001</v>
      </c>
      <c r="K139" s="12">
        <v>0.5595</v>
      </c>
      <c r="L139" s="12">
        <v>0.4</v>
      </c>
      <c r="M139" s="12">
        <v>0.53720000000000001</v>
      </c>
      <c r="N139" s="12">
        <v>0.48920000000000002</v>
      </c>
      <c r="O139" s="12">
        <v>0.40910000000000002</v>
      </c>
      <c r="P139" s="12">
        <v>0.36559999999999998</v>
      </c>
      <c r="Q139" s="2">
        <v>0.21</v>
      </c>
    </row>
    <row r="141" spans="2:17">
      <c r="B141" s="74" t="s">
        <v>936</v>
      </c>
      <c r="C141" s="74"/>
      <c r="D141" s="74"/>
      <c r="E141" s="74"/>
    </row>
  </sheetData>
  <autoFilter ref="A7:Q139"/>
  <mergeCells count="3">
    <mergeCell ref="B5:Q5"/>
    <mergeCell ref="I6:L6"/>
    <mergeCell ref="M6:P6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N208"/>
  <sheetViews>
    <sheetView topLeftCell="A25" workbookViewId="0">
      <selection activeCell="B33" sqref="B33"/>
    </sheetView>
  </sheetViews>
  <sheetFormatPr defaultRowHeight="15"/>
  <cols>
    <col min="2" max="2" width="73.28515625" customWidth="1"/>
    <col min="3" max="3" width="23.85546875" customWidth="1"/>
    <col min="4" max="4" width="26" customWidth="1"/>
    <col min="5" max="5" width="29.85546875" customWidth="1"/>
    <col min="6" max="6" width="25.85546875" customWidth="1"/>
    <col min="7" max="7" width="12" customWidth="1"/>
    <col min="8" max="8" width="11.140625" customWidth="1"/>
    <col min="9" max="9" width="26.42578125" customWidth="1"/>
    <col min="10" max="10" width="20.140625" customWidth="1"/>
    <col min="11" max="11" width="10.5703125" style="122" customWidth="1"/>
    <col min="12" max="12" width="18.42578125" style="122" customWidth="1"/>
    <col min="13" max="13" width="9.140625" style="78"/>
  </cols>
  <sheetData>
    <row r="1" spans="1:12">
      <c r="A1" s="61" t="s">
        <v>940</v>
      </c>
      <c r="C1" s="23"/>
      <c r="D1" s="23"/>
      <c r="E1" s="23"/>
      <c r="F1" s="23"/>
      <c r="G1" s="23"/>
      <c r="H1" s="23"/>
      <c r="I1" s="23"/>
      <c r="J1" s="23"/>
      <c r="K1" s="124"/>
      <c r="L1" s="124"/>
    </row>
    <row r="2" spans="1:12">
      <c r="A2" s="61" t="s">
        <v>941</v>
      </c>
      <c r="C2" s="23"/>
      <c r="D2" s="23"/>
      <c r="E2" s="23"/>
      <c r="F2" s="23"/>
      <c r="G2" s="23"/>
      <c r="H2" s="23"/>
      <c r="I2" s="23"/>
      <c r="J2" s="23"/>
      <c r="K2" s="124"/>
      <c r="L2" s="124"/>
    </row>
    <row r="3" spans="1:12">
      <c r="A3" s="61" t="s">
        <v>1043</v>
      </c>
      <c r="C3" s="23"/>
      <c r="D3" s="23"/>
      <c r="E3" s="23"/>
      <c r="F3" s="23"/>
      <c r="G3" s="23"/>
      <c r="H3" s="23"/>
      <c r="I3" s="23"/>
      <c r="J3" s="23"/>
      <c r="K3" s="124"/>
      <c r="L3" s="124"/>
    </row>
    <row r="4" spans="1:12" ht="23.25" customHeight="1">
      <c r="A4" s="229" t="s">
        <v>979</v>
      </c>
      <c r="B4" s="229"/>
      <c r="C4" s="229"/>
      <c r="D4" s="229"/>
      <c r="E4" s="229"/>
      <c r="F4" s="229"/>
      <c r="G4" s="229"/>
      <c r="H4" s="229"/>
      <c r="I4" s="229"/>
      <c r="J4" s="229"/>
      <c r="K4" s="129"/>
      <c r="L4" s="129"/>
    </row>
    <row r="5" spans="1:12" ht="65.25" customHeight="1">
      <c r="A5" s="228" t="s">
        <v>1157</v>
      </c>
      <c r="B5" s="228"/>
      <c r="C5" s="228"/>
      <c r="D5" s="228"/>
      <c r="E5" s="228"/>
      <c r="F5" s="228"/>
      <c r="G5" s="228"/>
      <c r="H5" s="228"/>
      <c r="I5" s="228"/>
      <c r="J5" s="228"/>
      <c r="K5" s="125"/>
      <c r="L5" s="125"/>
    </row>
    <row r="6" spans="1:12" s="120" customFormat="1" ht="15.75" customHeight="1">
      <c r="A6" s="301" t="s">
        <v>139</v>
      </c>
      <c r="B6" s="302" t="s">
        <v>942</v>
      </c>
      <c r="C6" s="303" t="s">
        <v>0</v>
      </c>
      <c r="D6" s="303" t="s">
        <v>334</v>
      </c>
      <c r="E6" s="302" t="s">
        <v>1158</v>
      </c>
      <c r="F6" s="302" t="s">
        <v>1159</v>
      </c>
      <c r="G6" s="304" t="s">
        <v>1160</v>
      </c>
      <c r="H6" s="304"/>
      <c r="I6" s="303" t="s">
        <v>1112</v>
      </c>
      <c r="J6" s="302" t="s">
        <v>1161</v>
      </c>
      <c r="K6" s="126"/>
      <c r="L6" s="126"/>
    </row>
    <row r="7" spans="1:12" s="121" customFormat="1" ht="49.5" customHeight="1">
      <c r="A7" s="131">
        <v>1</v>
      </c>
      <c r="B7" s="130" t="s">
        <v>1162</v>
      </c>
      <c r="C7" s="131" t="s">
        <v>980</v>
      </c>
      <c r="D7" s="131" t="s">
        <v>1006</v>
      </c>
      <c r="E7" s="224" t="s">
        <v>1163</v>
      </c>
      <c r="F7" s="132">
        <v>1.7</v>
      </c>
      <c r="G7" s="225">
        <v>2.5</v>
      </c>
      <c r="H7" s="225"/>
      <c r="I7" s="224" t="s">
        <v>1164</v>
      </c>
      <c r="J7" s="226">
        <v>0.21</v>
      </c>
      <c r="K7" s="127"/>
      <c r="L7" s="127"/>
    </row>
    <row r="8" spans="1:12" s="121" customFormat="1" ht="45" customHeight="1">
      <c r="A8" s="131">
        <v>2</v>
      </c>
      <c r="B8" s="130" t="s">
        <v>1165</v>
      </c>
      <c r="C8" s="131" t="s">
        <v>981</v>
      </c>
      <c r="D8" s="131" t="s">
        <v>1006</v>
      </c>
      <c r="E8" s="224"/>
      <c r="F8" s="132">
        <v>0.7</v>
      </c>
      <c r="G8" s="225">
        <v>1</v>
      </c>
      <c r="H8" s="225"/>
      <c r="I8" s="224"/>
      <c r="J8" s="226"/>
      <c r="K8" s="127"/>
      <c r="L8" s="127"/>
    </row>
    <row r="9" spans="1:12" s="121" customFormat="1" ht="47.25" customHeight="1">
      <c r="A9" s="131">
        <v>3</v>
      </c>
      <c r="B9" s="133" t="s">
        <v>1166</v>
      </c>
      <c r="C9" s="134" t="s">
        <v>171</v>
      </c>
      <c r="D9" s="134" t="s">
        <v>1006</v>
      </c>
      <c r="E9" s="224"/>
      <c r="F9" s="135">
        <v>1</v>
      </c>
      <c r="G9" s="226">
        <v>1.4</v>
      </c>
      <c r="H9" s="226"/>
      <c r="I9" s="224"/>
      <c r="J9" s="226"/>
      <c r="K9" s="127"/>
      <c r="L9" s="127"/>
    </row>
    <row r="10" spans="1:12" s="121" customFormat="1" ht="49.5" customHeight="1">
      <c r="A10" s="131">
        <v>4</v>
      </c>
      <c r="B10" s="133" t="s">
        <v>943</v>
      </c>
      <c r="C10" s="134" t="s">
        <v>982</v>
      </c>
      <c r="D10" s="134" t="s">
        <v>1006</v>
      </c>
      <c r="E10" s="224"/>
      <c r="F10" s="135">
        <v>0.7</v>
      </c>
      <c r="G10" s="226">
        <v>1.4</v>
      </c>
      <c r="H10" s="226"/>
      <c r="I10" s="224"/>
      <c r="J10" s="226"/>
      <c r="K10" s="127"/>
      <c r="L10" s="127"/>
    </row>
    <row r="11" spans="1:12" s="121" customFormat="1" ht="41.25" customHeight="1">
      <c r="A11" s="131">
        <v>5</v>
      </c>
      <c r="B11" s="130" t="s">
        <v>1167</v>
      </c>
      <c r="C11" s="131" t="s">
        <v>983</v>
      </c>
      <c r="D11" s="131" t="s">
        <v>1006</v>
      </c>
      <c r="E11" s="224"/>
      <c r="F11" s="132">
        <v>0.7</v>
      </c>
      <c r="G11" s="225">
        <v>1.2</v>
      </c>
      <c r="H11" s="225"/>
      <c r="I11" s="224"/>
      <c r="J11" s="226"/>
      <c r="K11" s="127"/>
      <c r="L11" s="127"/>
    </row>
    <row r="12" spans="1:12" s="121" customFormat="1" ht="33">
      <c r="A12" s="131">
        <v>6</v>
      </c>
      <c r="B12" s="133" t="s">
        <v>1168</v>
      </c>
      <c r="C12" s="134" t="s">
        <v>172</v>
      </c>
      <c r="D12" s="134" t="s">
        <v>1006</v>
      </c>
      <c r="E12" s="224"/>
      <c r="F12" s="135">
        <v>1</v>
      </c>
      <c r="G12" s="226">
        <v>1.4</v>
      </c>
      <c r="H12" s="226"/>
      <c r="I12" s="224"/>
      <c r="J12" s="226"/>
      <c r="K12" s="127"/>
      <c r="L12" s="127"/>
    </row>
    <row r="13" spans="1:12" s="121" customFormat="1" ht="28.5">
      <c r="A13" s="131">
        <v>7</v>
      </c>
      <c r="B13" s="133" t="s">
        <v>944</v>
      </c>
      <c r="C13" s="134" t="s">
        <v>984</v>
      </c>
      <c r="D13" s="134" t="s">
        <v>1006</v>
      </c>
      <c r="E13" s="224"/>
      <c r="F13" s="135">
        <v>0.7</v>
      </c>
      <c r="G13" s="226">
        <v>1.4</v>
      </c>
      <c r="H13" s="226"/>
      <c r="I13" s="224"/>
      <c r="J13" s="226"/>
      <c r="K13" s="127"/>
      <c r="L13" s="127"/>
    </row>
    <row r="14" spans="1:12" s="121" customFormat="1" ht="23.25" customHeight="1">
      <c r="A14" s="131">
        <v>8</v>
      </c>
      <c r="B14" s="133" t="s">
        <v>945</v>
      </c>
      <c r="C14" s="134" t="s">
        <v>985</v>
      </c>
      <c r="D14" s="134" t="s">
        <v>1006</v>
      </c>
      <c r="E14" s="224"/>
      <c r="F14" s="135">
        <v>0.7</v>
      </c>
      <c r="G14" s="226">
        <v>1.4</v>
      </c>
      <c r="H14" s="226"/>
      <c r="I14" s="224"/>
      <c r="J14" s="226"/>
      <c r="K14" s="127"/>
      <c r="L14" s="127"/>
    </row>
    <row r="15" spans="1:12" s="121" customFormat="1" ht="28.5" customHeight="1">
      <c r="A15" s="131">
        <v>9</v>
      </c>
      <c r="B15" s="133" t="s">
        <v>946</v>
      </c>
      <c r="C15" s="134" t="s">
        <v>986</v>
      </c>
      <c r="D15" s="134" t="s">
        <v>1006</v>
      </c>
      <c r="E15" s="224"/>
      <c r="F15" s="135">
        <v>0.7</v>
      </c>
      <c r="G15" s="226">
        <v>1.4</v>
      </c>
      <c r="H15" s="226"/>
      <c r="I15" s="224" t="s">
        <v>1164</v>
      </c>
      <c r="J15" s="226">
        <v>0.21</v>
      </c>
      <c r="K15" s="127"/>
      <c r="L15" s="127"/>
    </row>
    <row r="16" spans="1:12" s="121" customFormat="1" ht="28.5">
      <c r="A16" s="131">
        <v>10</v>
      </c>
      <c r="B16" s="133" t="s">
        <v>947</v>
      </c>
      <c r="C16" s="134" t="s">
        <v>674</v>
      </c>
      <c r="D16" s="134" t="s">
        <v>1006</v>
      </c>
      <c r="E16" s="224"/>
      <c r="F16" s="135">
        <v>0.7</v>
      </c>
      <c r="G16" s="226">
        <v>1.4</v>
      </c>
      <c r="H16" s="226"/>
      <c r="I16" s="224"/>
      <c r="J16" s="226"/>
      <c r="K16" s="127"/>
      <c r="L16" s="127"/>
    </row>
    <row r="17" spans="1:12" s="121" customFormat="1" ht="28.5">
      <c r="A17" s="131">
        <v>11</v>
      </c>
      <c r="B17" s="133" t="s">
        <v>948</v>
      </c>
      <c r="C17" s="134" t="s">
        <v>987</v>
      </c>
      <c r="D17" s="134" t="s">
        <v>1006</v>
      </c>
      <c r="E17" s="224"/>
      <c r="F17" s="135">
        <v>0.7</v>
      </c>
      <c r="G17" s="226">
        <v>1.4</v>
      </c>
      <c r="H17" s="226"/>
      <c r="I17" s="224"/>
      <c r="J17" s="226"/>
      <c r="K17" s="127"/>
      <c r="L17" s="127"/>
    </row>
    <row r="18" spans="1:12" s="121" customFormat="1" ht="28.5">
      <c r="A18" s="131">
        <v>12</v>
      </c>
      <c r="B18" s="133" t="s">
        <v>949</v>
      </c>
      <c r="C18" s="134" t="s">
        <v>988</v>
      </c>
      <c r="D18" s="134" t="s">
        <v>1006</v>
      </c>
      <c r="E18" s="224"/>
      <c r="F18" s="135">
        <v>0.7</v>
      </c>
      <c r="G18" s="226">
        <v>1.4</v>
      </c>
      <c r="H18" s="226"/>
      <c r="I18" s="224"/>
      <c r="J18" s="226"/>
      <c r="K18" s="127"/>
      <c r="L18" s="127"/>
    </row>
    <row r="19" spans="1:12" s="121" customFormat="1" ht="66" customHeight="1">
      <c r="A19" s="131">
        <v>13</v>
      </c>
      <c r="B19" s="133" t="s">
        <v>950</v>
      </c>
      <c r="C19" s="134" t="s">
        <v>989</v>
      </c>
      <c r="D19" s="134" t="s">
        <v>1007</v>
      </c>
      <c r="E19" s="224"/>
      <c r="F19" s="135">
        <v>0.7</v>
      </c>
      <c r="G19" s="226">
        <v>1.4</v>
      </c>
      <c r="H19" s="226"/>
      <c r="I19" s="224"/>
      <c r="J19" s="226"/>
      <c r="K19" s="127"/>
      <c r="L19" s="127"/>
    </row>
    <row r="20" spans="1:12" s="121" customFormat="1" ht="28.5" customHeight="1">
      <c r="A20" s="131">
        <v>14</v>
      </c>
      <c r="B20" s="133" t="s">
        <v>951</v>
      </c>
      <c r="C20" s="134" t="s">
        <v>675</v>
      </c>
      <c r="D20" s="134" t="s">
        <v>1008</v>
      </c>
      <c r="E20" s="224"/>
      <c r="F20" s="135">
        <v>0.7</v>
      </c>
      <c r="G20" s="226">
        <v>1.4</v>
      </c>
      <c r="H20" s="226"/>
      <c r="I20" s="227" t="s">
        <v>1164</v>
      </c>
      <c r="J20" s="136">
        <v>0.21</v>
      </c>
      <c r="K20" s="127"/>
      <c r="L20" s="127"/>
    </row>
    <row r="21" spans="1:12" s="121" customFormat="1" ht="195">
      <c r="A21" s="131">
        <v>15</v>
      </c>
      <c r="B21" s="305" t="s">
        <v>952</v>
      </c>
      <c r="C21" s="134" t="s">
        <v>304</v>
      </c>
      <c r="D21" s="134">
        <v>2202</v>
      </c>
      <c r="E21" s="131" t="s">
        <v>1169</v>
      </c>
      <c r="F21" s="135">
        <v>0.4</v>
      </c>
      <c r="G21" s="226">
        <v>1.4</v>
      </c>
      <c r="H21" s="226"/>
      <c r="I21" s="227"/>
      <c r="J21" s="224" t="s">
        <v>1170</v>
      </c>
      <c r="K21" s="127"/>
      <c r="L21" s="127"/>
    </row>
    <row r="22" spans="1:12" s="121" customFormat="1" ht="15.75" customHeight="1">
      <c r="A22" s="131">
        <v>16</v>
      </c>
      <c r="B22" s="133" t="s">
        <v>953</v>
      </c>
      <c r="C22" s="134" t="s">
        <v>676</v>
      </c>
      <c r="D22" s="134" t="s">
        <v>1009</v>
      </c>
      <c r="E22" s="131"/>
      <c r="F22" s="135">
        <v>0.7</v>
      </c>
      <c r="G22" s="226">
        <v>1.4</v>
      </c>
      <c r="H22" s="226"/>
      <c r="I22" s="227"/>
      <c r="J22" s="224"/>
      <c r="K22" s="127"/>
      <c r="L22" s="127"/>
    </row>
    <row r="23" spans="1:12" s="121" customFormat="1" ht="15.75" customHeight="1">
      <c r="A23" s="131">
        <v>17</v>
      </c>
      <c r="B23" s="133" t="s">
        <v>954</v>
      </c>
      <c r="C23" s="134" t="s">
        <v>678</v>
      </c>
      <c r="D23" s="134" t="s">
        <v>1009</v>
      </c>
      <c r="E23" s="131"/>
      <c r="F23" s="135">
        <v>0.7</v>
      </c>
      <c r="G23" s="226">
        <v>1.4</v>
      </c>
      <c r="H23" s="226"/>
      <c r="I23" s="227"/>
      <c r="J23" s="224"/>
      <c r="K23" s="127"/>
      <c r="L23" s="127"/>
    </row>
    <row r="24" spans="1:12" s="121" customFormat="1" ht="15.75" customHeight="1">
      <c r="A24" s="131">
        <v>18</v>
      </c>
      <c r="B24" s="133" t="s">
        <v>955</v>
      </c>
      <c r="C24" s="134" t="s">
        <v>305</v>
      </c>
      <c r="D24" s="134" t="s">
        <v>1009</v>
      </c>
      <c r="E24" s="131"/>
      <c r="F24" s="135">
        <v>0.7</v>
      </c>
      <c r="G24" s="226">
        <v>1.4</v>
      </c>
      <c r="H24" s="226"/>
      <c r="I24" s="227"/>
      <c r="J24" s="224"/>
      <c r="K24" s="127"/>
      <c r="L24" s="127"/>
    </row>
    <row r="25" spans="1:12" s="121" customFormat="1" ht="23.25" customHeight="1">
      <c r="A25" s="131">
        <v>19</v>
      </c>
      <c r="B25" s="133" t="s">
        <v>956</v>
      </c>
      <c r="C25" s="134" t="s">
        <v>677</v>
      </c>
      <c r="D25" s="134">
        <v>2202</v>
      </c>
      <c r="E25" s="131"/>
      <c r="F25" s="135">
        <v>0.7</v>
      </c>
      <c r="G25" s="226">
        <v>1.4</v>
      </c>
      <c r="H25" s="226"/>
      <c r="I25" s="227"/>
      <c r="J25" s="224"/>
      <c r="K25" s="127"/>
      <c r="L25" s="127"/>
    </row>
    <row r="26" spans="1:12" s="121" customFormat="1" ht="28.5">
      <c r="A26" s="131">
        <v>20</v>
      </c>
      <c r="B26" s="133" t="s">
        <v>957</v>
      </c>
      <c r="C26" s="134" t="s">
        <v>307</v>
      </c>
      <c r="D26" s="134" t="s">
        <v>1010</v>
      </c>
      <c r="E26" s="131"/>
      <c r="F26" s="135">
        <v>1</v>
      </c>
      <c r="G26" s="226">
        <v>1.4</v>
      </c>
      <c r="H26" s="226"/>
      <c r="I26" s="227"/>
      <c r="J26" s="224" t="s">
        <v>1170</v>
      </c>
      <c r="K26" s="127"/>
      <c r="L26" s="127"/>
    </row>
    <row r="27" spans="1:12" s="121" customFormat="1" ht="25.5" customHeight="1">
      <c r="A27" s="131">
        <v>21</v>
      </c>
      <c r="B27" s="133" t="s">
        <v>958</v>
      </c>
      <c r="C27" s="134" t="s">
        <v>990</v>
      </c>
      <c r="D27" s="134" t="s">
        <v>1011</v>
      </c>
      <c r="E27" s="131"/>
      <c r="F27" s="135">
        <v>0.7</v>
      </c>
      <c r="G27" s="226">
        <v>1.4</v>
      </c>
      <c r="H27" s="226"/>
      <c r="I27" s="227"/>
      <c r="J27" s="224"/>
      <c r="K27" s="127"/>
      <c r="L27" s="127"/>
    </row>
    <row r="28" spans="1:12" s="121" customFormat="1" ht="30">
      <c r="A28" s="131">
        <v>22</v>
      </c>
      <c r="B28" s="133" t="s">
        <v>959</v>
      </c>
      <c r="C28" s="134" t="s">
        <v>306</v>
      </c>
      <c r="D28" s="134" t="s">
        <v>1012</v>
      </c>
      <c r="E28" s="131"/>
      <c r="F28" s="135">
        <v>0.7</v>
      </c>
      <c r="G28" s="226">
        <v>1.4</v>
      </c>
      <c r="H28" s="226"/>
      <c r="I28" s="227"/>
      <c r="J28" s="227" t="s">
        <v>1170</v>
      </c>
      <c r="K28" s="127"/>
      <c r="L28" s="127"/>
    </row>
    <row r="29" spans="1:12" s="121" customFormat="1" ht="30">
      <c r="A29" s="131">
        <v>23</v>
      </c>
      <c r="B29" s="133" t="s">
        <v>960</v>
      </c>
      <c r="C29" s="134" t="s">
        <v>673</v>
      </c>
      <c r="D29" s="134" t="s">
        <v>1013</v>
      </c>
      <c r="E29" s="131"/>
      <c r="F29" s="135">
        <v>0.7</v>
      </c>
      <c r="G29" s="226">
        <v>1.4</v>
      </c>
      <c r="H29" s="226"/>
      <c r="I29" s="227"/>
      <c r="J29" s="227"/>
      <c r="K29" s="127"/>
      <c r="L29" s="127"/>
    </row>
    <row r="30" spans="1:12" s="121" customFormat="1" ht="30">
      <c r="A30" s="131">
        <v>24</v>
      </c>
      <c r="B30" s="133" t="s">
        <v>961</v>
      </c>
      <c r="C30" s="134" t="s">
        <v>991</v>
      </c>
      <c r="D30" s="134" t="s">
        <v>1013</v>
      </c>
      <c r="E30" s="131"/>
      <c r="F30" s="135">
        <v>0.7</v>
      </c>
      <c r="G30" s="226">
        <v>1.4</v>
      </c>
      <c r="H30" s="226"/>
      <c r="I30" s="227"/>
      <c r="J30" s="227"/>
      <c r="K30" s="127"/>
      <c r="L30" s="127"/>
    </row>
    <row r="31" spans="1:12" s="121" customFormat="1" ht="30">
      <c r="A31" s="131">
        <v>25</v>
      </c>
      <c r="B31" s="133" t="s">
        <v>309</v>
      </c>
      <c r="C31" s="134" t="s">
        <v>308</v>
      </c>
      <c r="D31" s="134" t="s">
        <v>1012</v>
      </c>
      <c r="E31" s="131"/>
      <c r="F31" s="135">
        <v>0.7</v>
      </c>
      <c r="G31" s="226">
        <v>1.4</v>
      </c>
      <c r="H31" s="226"/>
      <c r="I31" s="227"/>
      <c r="J31" s="227"/>
      <c r="K31" s="127"/>
      <c r="L31" s="127"/>
    </row>
    <row r="32" spans="1:12" s="121" customFormat="1" ht="30">
      <c r="A32" s="131">
        <v>26</v>
      </c>
      <c r="B32" s="133" t="s">
        <v>962</v>
      </c>
      <c r="C32" s="134" t="s">
        <v>992</v>
      </c>
      <c r="D32" s="134" t="s">
        <v>1014</v>
      </c>
      <c r="E32" s="131"/>
      <c r="F32" s="135">
        <v>0.7</v>
      </c>
      <c r="G32" s="226">
        <v>1.4</v>
      </c>
      <c r="H32" s="226"/>
      <c r="I32" s="227"/>
      <c r="J32" s="227"/>
      <c r="K32" s="127"/>
      <c r="L32" s="127"/>
    </row>
    <row r="33" spans="1:12" s="121" customFormat="1" ht="23.25" customHeight="1">
      <c r="A33" s="131">
        <v>27</v>
      </c>
      <c r="B33" s="306" t="s">
        <v>963</v>
      </c>
      <c r="C33" s="134" t="s">
        <v>310</v>
      </c>
      <c r="D33" s="134" t="s">
        <v>1015</v>
      </c>
      <c r="E33" s="131"/>
      <c r="F33" s="135">
        <v>0.7</v>
      </c>
      <c r="G33" s="226">
        <v>1.4</v>
      </c>
      <c r="H33" s="226"/>
      <c r="I33" s="227"/>
      <c r="J33" s="226" t="s">
        <v>1171</v>
      </c>
      <c r="K33" s="127"/>
      <c r="L33" s="127"/>
    </row>
    <row r="34" spans="1:12" s="121" customFormat="1" ht="24" customHeight="1">
      <c r="A34" s="131">
        <v>28</v>
      </c>
      <c r="B34" s="133" t="s">
        <v>964</v>
      </c>
      <c r="C34" s="134" t="s">
        <v>993</v>
      </c>
      <c r="D34" s="134" t="s">
        <v>1015</v>
      </c>
      <c r="E34" s="131"/>
      <c r="F34" s="135">
        <v>0.7</v>
      </c>
      <c r="G34" s="226">
        <v>1.4</v>
      </c>
      <c r="H34" s="226"/>
      <c r="I34" s="227"/>
      <c r="J34" s="226"/>
      <c r="K34" s="127"/>
      <c r="L34" s="127"/>
    </row>
    <row r="35" spans="1:12" s="121" customFormat="1" ht="21.75" customHeight="1">
      <c r="A35" s="131">
        <v>29</v>
      </c>
      <c r="B35" s="133" t="s">
        <v>965</v>
      </c>
      <c r="C35" s="134" t="s">
        <v>994</v>
      </c>
      <c r="D35" s="134" t="s">
        <v>1015</v>
      </c>
      <c r="E35" s="131"/>
      <c r="F35" s="135">
        <v>0.7</v>
      </c>
      <c r="G35" s="226">
        <v>1.4</v>
      </c>
      <c r="H35" s="226"/>
      <c r="I35" s="227"/>
      <c r="J35" s="226"/>
      <c r="K35" s="127"/>
      <c r="L35" s="127"/>
    </row>
    <row r="36" spans="1:12" s="121" customFormat="1" ht="22.5" customHeight="1">
      <c r="A36" s="131">
        <v>30</v>
      </c>
      <c r="B36" s="133" t="s">
        <v>966</v>
      </c>
      <c r="C36" s="134" t="s">
        <v>995</v>
      </c>
      <c r="D36" s="134" t="s">
        <v>1015</v>
      </c>
      <c r="E36" s="131"/>
      <c r="F36" s="135">
        <v>0.7</v>
      </c>
      <c r="G36" s="226">
        <v>1.4</v>
      </c>
      <c r="H36" s="226"/>
      <c r="I36" s="227"/>
      <c r="J36" s="226"/>
      <c r="K36" s="127"/>
      <c r="L36" s="127"/>
    </row>
    <row r="37" spans="1:12" s="121" customFormat="1" ht="22.5" customHeight="1">
      <c r="A37" s="131">
        <v>31</v>
      </c>
      <c r="B37" s="133" t="s">
        <v>967</v>
      </c>
      <c r="C37" s="134" t="s">
        <v>996</v>
      </c>
      <c r="D37" s="134" t="s">
        <v>1015</v>
      </c>
      <c r="E37" s="131"/>
      <c r="F37" s="135">
        <v>0.7</v>
      </c>
      <c r="G37" s="226">
        <v>1.4</v>
      </c>
      <c r="H37" s="226"/>
      <c r="I37" s="227"/>
      <c r="J37" s="226"/>
      <c r="K37" s="127"/>
      <c r="L37" s="127"/>
    </row>
    <row r="38" spans="1:12" s="121" customFormat="1" ht="21" customHeight="1">
      <c r="A38" s="131">
        <v>32</v>
      </c>
      <c r="B38" s="133" t="s">
        <v>968</v>
      </c>
      <c r="C38" s="134" t="s">
        <v>682</v>
      </c>
      <c r="D38" s="134" t="s">
        <v>1015</v>
      </c>
      <c r="E38" s="131"/>
      <c r="F38" s="135">
        <v>0.7</v>
      </c>
      <c r="G38" s="226">
        <v>1.4</v>
      </c>
      <c r="H38" s="226"/>
      <c r="I38" s="227"/>
      <c r="J38" s="226"/>
      <c r="K38" s="127"/>
      <c r="L38" s="127"/>
    </row>
    <row r="39" spans="1:12" s="121" customFormat="1" ht="27" customHeight="1">
      <c r="A39" s="131">
        <v>33</v>
      </c>
      <c r="B39" s="133" t="s">
        <v>969</v>
      </c>
      <c r="C39" s="134" t="s">
        <v>997</v>
      </c>
      <c r="D39" s="134" t="s">
        <v>1015</v>
      </c>
      <c r="E39" s="131"/>
      <c r="F39" s="135">
        <v>0.7</v>
      </c>
      <c r="G39" s="226">
        <v>1.4</v>
      </c>
      <c r="H39" s="226"/>
      <c r="I39" s="227"/>
      <c r="J39" s="226"/>
      <c r="K39" s="127"/>
      <c r="L39" s="127"/>
    </row>
    <row r="40" spans="1:12" s="121" customFormat="1" ht="23.25" customHeight="1">
      <c r="A40" s="131">
        <v>34</v>
      </c>
      <c r="B40" s="133" t="s">
        <v>970</v>
      </c>
      <c r="C40" s="134" t="s">
        <v>643</v>
      </c>
      <c r="D40" s="134" t="s">
        <v>1015</v>
      </c>
      <c r="E40" s="131"/>
      <c r="F40" s="135">
        <v>1.1499999999999999</v>
      </c>
      <c r="G40" s="226">
        <v>1.4</v>
      </c>
      <c r="H40" s="226"/>
      <c r="I40" s="227"/>
      <c r="J40" s="226"/>
      <c r="K40" s="127"/>
      <c r="L40" s="127"/>
    </row>
    <row r="41" spans="1:12" s="121" customFormat="1" ht="36" customHeight="1">
      <c r="A41" s="131">
        <v>35</v>
      </c>
      <c r="B41" s="130" t="s">
        <v>971</v>
      </c>
      <c r="C41" s="131" t="s">
        <v>998</v>
      </c>
      <c r="D41" s="131" t="s">
        <v>1016</v>
      </c>
      <c r="E41" s="227" t="s">
        <v>1169</v>
      </c>
      <c r="F41" s="135"/>
      <c r="G41" s="226"/>
      <c r="H41" s="226"/>
      <c r="I41" s="227" t="s">
        <v>1164</v>
      </c>
      <c r="J41" s="226">
        <v>0.21</v>
      </c>
      <c r="K41" s="127"/>
      <c r="L41" s="127"/>
    </row>
    <row r="42" spans="1:12" s="121" customFormat="1" ht="36.75" customHeight="1">
      <c r="A42" s="131">
        <v>36</v>
      </c>
      <c r="B42" s="130" t="s">
        <v>972</v>
      </c>
      <c r="C42" s="131" t="s">
        <v>999</v>
      </c>
      <c r="D42" s="131" t="s">
        <v>1016</v>
      </c>
      <c r="E42" s="227"/>
      <c r="F42" s="135"/>
      <c r="G42" s="226"/>
      <c r="H42" s="226"/>
      <c r="I42" s="227"/>
      <c r="J42" s="226"/>
      <c r="K42" s="127"/>
      <c r="L42" s="127"/>
    </row>
    <row r="43" spans="1:12" s="121" customFormat="1" ht="40.5" customHeight="1">
      <c r="A43" s="131">
        <v>37</v>
      </c>
      <c r="B43" s="130" t="s">
        <v>973</v>
      </c>
      <c r="C43" s="131" t="s">
        <v>1000</v>
      </c>
      <c r="D43" s="131" t="s">
        <v>1016</v>
      </c>
      <c r="E43" s="227"/>
      <c r="F43" s="135"/>
      <c r="G43" s="226"/>
      <c r="H43" s="226"/>
      <c r="I43" s="227"/>
      <c r="J43" s="226"/>
      <c r="K43" s="127"/>
      <c r="L43" s="127"/>
    </row>
    <row r="44" spans="1:12" s="121" customFormat="1" ht="29.25" customHeight="1">
      <c r="A44" s="131">
        <v>38</v>
      </c>
      <c r="B44" s="130" t="s">
        <v>974</v>
      </c>
      <c r="C44" s="131" t="s">
        <v>1001</v>
      </c>
      <c r="D44" s="131" t="s">
        <v>1016</v>
      </c>
      <c r="E44" s="227"/>
      <c r="F44" s="135"/>
      <c r="G44" s="226"/>
      <c r="H44" s="226"/>
      <c r="I44" s="227"/>
      <c r="J44" s="226"/>
      <c r="K44" s="127"/>
      <c r="L44" s="127"/>
    </row>
    <row r="45" spans="1:12" s="121" customFormat="1" ht="27" customHeight="1">
      <c r="A45" s="131">
        <v>39</v>
      </c>
      <c r="B45" s="130" t="s">
        <v>975</v>
      </c>
      <c r="C45" s="131" t="s">
        <v>1002</v>
      </c>
      <c r="D45" s="131" t="s">
        <v>1016</v>
      </c>
      <c r="E45" s="227"/>
      <c r="F45" s="135"/>
      <c r="G45" s="226"/>
      <c r="H45" s="226"/>
      <c r="I45" s="227"/>
      <c r="J45" s="226"/>
      <c r="K45" s="127"/>
      <c r="L45" s="127"/>
    </row>
    <row r="46" spans="1:12" s="121" customFormat="1" ht="31.5" customHeight="1">
      <c r="A46" s="131">
        <v>40</v>
      </c>
      <c r="B46" s="130" t="s">
        <v>976</v>
      </c>
      <c r="C46" s="131" t="s">
        <v>1003</v>
      </c>
      <c r="D46" s="131" t="s">
        <v>1016</v>
      </c>
      <c r="E46" s="227"/>
      <c r="F46" s="135"/>
      <c r="G46" s="226"/>
      <c r="H46" s="226"/>
      <c r="I46" s="227"/>
      <c r="J46" s="226"/>
      <c r="K46" s="127"/>
      <c r="L46" s="127"/>
    </row>
    <row r="47" spans="1:12" s="121" customFormat="1" ht="34.5" customHeight="1">
      <c r="A47" s="131">
        <v>41</v>
      </c>
      <c r="B47" s="130" t="s">
        <v>977</v>
      </c>
      <c r="C47" s="131" t="s">
        <v>1004</v>
      </c>
      <c r="D47" s="131" t="s">
        <v>1016</v>
      </c>
      <c r="E47" s="227"/>
      <c r="F47" s="135"/>
      <c r="G47" s="226"/>
      <c r="H47" s="226"/>
      <c r="I47" s="227"/>
      <c r="J47" s="226"/>
      <c r="K47" s="127"/>
      <c r="L47" s="127"/>
    </row>
    <row r="48" spans="1:12" s="121" customFormat="1" ht="46.5" customHeight="1">
      <c r="A48" s="131">
        <v>42</v>
      </c>
      <c r="B48" s="130" t="s">
        <v>978</v>
      </c>
      <c r="C48" s="130"/>
      <c r="D48" s="130"/>
      <c r="E48" s="227"/>
      <c r="F48" s="135"/>
      <c r="G48" s="135"/>
      <c r="H48" s="135"/>
      <c r="I48" s="227"/>
      <c r="J48" s="133" t="s">
        <v>1170</v>
      </c>
      <c r="K48" s="127"/>
      <c r="L48" s="127"/>
    </row>
    <row r="49" spans="1:14">
      <c r="A49" s="122"/>
      <c r="B49" s="77"/>
      <c r="C49" s="77"/>
      <c r="D49" s="77"/>
      <c r="E49" s="77"/>
      <c r="F49" s="77"/>
      <c r="G49" s="77"/>
      <c r="H49" s="77"/>
      <c r="I49" s="140"/>
      <c r="J49" s="140"/>
      <c r="K49" s="128"/>
      <c r="L49" s="77"/>
      <c r="N49" s="122"/>
    </row>
    <row r="50" spans="1:14">
      <c r="A50" s="122"/>
      <c r="B50" s="77"/>
      <c r="C50" s="77"/>
      <c r="D50" s="77"/>
      <c r="E50" s="77"/>
      <c r="F50" s="77"/>
      <c r="G50" s="77"/>
      <c r="H50" s="77"/>
      <c r="I50" s="140"/>
      <c r="J50" s="140"/>
      <c r="K50" s="77"/>
      <c r="L50" s="77"/>
      <c r="N50" s="122"/>
    </row>
    <row r="51" spans="1:14">
      <c r="A51" s="122"/>
      <c r="B51" s="77"/>
      <c r="C51" s="77"/>
      <c r="D51" s="77"/>
      <c r="E51" s="77"/>
      <c r="F51" s="77"/>
      <c r="G51" s="77"/>
      <c r="H51" s="77"/>
      <c r="I51" s="140"/>
      <c r="J51" s="140"/>
      <c r="K51" s="77"/>
      <c r="L51" s="77"/>
      <c r="N51" s="122"/>
    </row>
    <row r="52" spans="1:14">
      <c r="A52" s="122"/>
      <c r="B52" s="77"/>
      <c r="C52" s="77"/>
      <c r="D52" s="77"/>
      <c r="E52" s="77"/>
      <c r="F52" s="77"/>
      <c r="G52" s="77"/>
      <c r="H52" s="77"/>
      <c r="I52" s="140"/>
      <c r="J52" s="140"/>
      <c r="K52" s="77"/>
      <c r="L52" s="77"/>
      <c r="N52" s="122"/>
    </row>
    <row r="53" spans="1:14">
      <c r="A53" s="122"/>
      <c r="B53" s="77"/>
      <c r="C53" s="77"/>
      <c r="D53" s="77"/>
      <c r="E53" s="77"/>
      <c r="F53" s="77"/>
      <c r="G53" s="77"/>
      <c r="H53" s="77"/>
      <c r="I53" s="140"/>
      <c r="J53" s="140"/>
      <c r="K53" s="77"/>
      <c r="L53" s="77"/>
      <c r="N53" s="122"/>
    </row>
    <row r="54" spans="1:14">
      <c r="A54" s="122"/>
      <c r="B54" s="77"/>
      <c r="C54" s="77"/>
      <c r="D54" s="77"/>
      <c r="E54" s="77"/>
      <c r="F54" s="77"/>
      <c r="G54" s="77"/>
      <c r="H54" s="77"/>
      <c r="I54" s="140"/>
      <c r="J54" s="140"/>
      <c r="K54" s="77"/>
      <c r="L54" s="77"/>
      <c r="N54" s="122"/>
    </row>
    <row r="55" spans="1:14">
      <c r="A55" s="122"/>
      <c r="B55" s="77"/>
      <c r="C55" s="77"/>
      <c r="D55" s="77"/>
      <c r="E55" s="77"/>
      <c r="F55" s="77"/>
      <c r="G55" s="77"/>
      <c r="H55" s="77"/>
      <c r="I55" s="140"/>
      <c r="J55" s="140"/>
      <c r="K55" s="77"/>
      <c r="L55" s="77"/>
      <c r="N55" s="122"/>
    </row>
    <row r="56" spans="1:14">
      <c r="A56" s="122"/>
      <c r="B56" s="77"/>
      <c r="C56" s="77"/>
      <c r="D56" s="77"/>
      <c r="E56" s="77"/>
      <c r="F56" s="77"/>
      <c r="G56" s="77"/>
      <c r="H56" s="77"/>
      <c r="I56" s="140"/>
      <c r="J56" s="140"/>
      <c r="K56" s="77"/>
      <c r="L56" s="77"/>
      <c r="N56" s="122"/>
    </row>
    <row r="57" spans="1:14">
      <c r="A57" s="122"/>
      <c r="B57" s="77"/>
      <c r="C57" s="77"/>
      <c r="D57" s="77"/>
      <c r="E57" s="77"/>
      <c r="F57" s="77"/>
      <c r="G57" s="77"/>
      <c r="H57" s="77"/>
      <c r="I57" s="140"/>
      <c r="J57" s="140"/>
      <c r="K57" s="77"/>
      <c r="L57" s="77"/>
      <c r="N57" s="122"/>
    </row>
    <row r="58" spans="1:14">
      <c r="A58" s="122"/>
      <c r="B58" s="77"/>
      <c r="C58" s="77"/>
      <c r="D58" s="77"/>
      <c r="E58" s="77"/>
      <c r="F58" s="77"/>
      <c r="G58" s="77"/>
      <c r="H58" s="77"/>
      <c r="I58" s="140"/>
      <c r="J58" s="140"/>
      <c r="K58" s="128"/>
      <c r="L58" s="77"/>
      <c r="N58" s="122"/>
    </row>
    <row r="59" spans="1:14">
      <c r="A59" s="122"/>
      <c r="B59" s="77"/>
      <c r="C59" s="77"/>
      <c r="D59" s="77"/>
      <c r="E59" s="77"/>
      <c r="F59" s="77"/>
      <c r="G59" s="77"/>
      <c r="H59" s="77"/>
      <c r="I59" s="140"/>
      <c r="J59" s="140"/>
      <c r="K59" s="128"/>
      <c r="L59" s="77"/>
      <c r="N59" s="122"/>
    </row>
    <row r="60" spans="1:14">
      <c r="A60" s="122"/>
      <c r="B60" s="77"/>
      <c r="C60" s="77"/>
      <c r="D60" s="77"/>
      <c r="E60" s="77"/>
      <c r="F60" s="77"/>
      <c r="G60" s="77"/>
      <c r="H60" s="77"/>
      <c r="I60" s="140"/>
      <c r="J60" s="140"/>
      <c r="K60" s="128"/>
      <c r="L60" s="77"/>
      <c r="N60" s="122"/>
    </row>
    <row r="61" spans="1:14">
      <c r="A61" s="122"/>
      <c r="B61" s="77"/>
      <c r="C61" s="77"/>
      <c r="D61" s="77"/>
      <c r="E61" s="77"/>
      <c r="F61" s="77"/>
      <c r="G61" s="77"/>
      <c r="H61" s="77"/>
      <c r="I61" s="140"/>
      <c r="J61" s="140"/>
      <c r="K61" s="128"/>
      <c r="L61" s="77"/>
      <c r="N61" s="122"/>
    </row>
    <row r="62" spans="1:14">
      <c r="A62" s="122"/>
      <c r="B62" s="77"/>
      <c r="C62" s="77"/>
      <c r="D62" s="77"/>
      <c r="E62" s="77"/>
      <c r="F62" s="77"/>
      <c r="G62" s="77"/>
      <c r="H62" s="77"/>
      <c r="I62" s="140"/>
      <c r="J62" s="140"/>
      <c r="K62" s="128"/>
      <c r="L62" s="77"/>
      <c r="N62" s="122"/>
    </row>
    <row r="63" spans="1:14">
      <c r="A63" s="122"/>
      <c r="B63" s="77"/>
      <c r="C63" s="77"/>
      <c r="D63" s="77"/>
      <c r="E63" s="77"/>
      <c r="F63" s="77"/>
      <c r="G63" s="77"/>
      <c r="H63" s="77"/>
      <c r="I63" s="140"/>
      <c r="J63" s="140"/>
      <c r="K63" s="128"/>
      <c r="L63" s="77"/>
      <c r="N63" s="122"/>
    </row>
    <row r="64" spans="1:14">
      <c r="A64" s="122"/>
      <c r="B64" s="77"/>
      <c r="C64" s="77"/>
      <c r="D64" s="77"/>
      <c r="E64" s="77"/>
      <c r="F64" s="77"/>
      <c r="G64" s="77"/>
      <c r="H64" s="77"/>
      <c r="I64" s="140"/>
      <c r="J64" s="140"/>
      <c r="K64" s="128"/>
      <c r="L64" s="77"/>
      <c r="N64" s="122"/>
    </row>
    <row r="65" spans="1:14">
      <c r="A65" s="122"/>
      <c r="B65" s="77"/>
      <c r="C65" s="77"/>
      <c r="D65" s="77"/>
      <c r="E65" s="77"/>
      <c r="F65" s="77"/>
      <c r="G65" s="77"/>
      <c r="H65" s="77"/>
      <c r="I65" s="140"/>
      <c r="J65" s="140"/>
      <c r="K65" s="128"/>
      <c r="L65" s="77"/>
      <c r="N65" s="122"/>
    </row>
    <row r="66" spans="1:14">
      <c r="A66" s="122"/>
      <c r="B66" s="77"/>
      <c r="C66" s="77"/>
      <c r="D66" s="77"/>
      <c r="E66" s="77"/>
      <c r="F66" s="77"/>
      <c r="G66" s="77"/>
      <c r="H66" s="77"/>
      <c r="I66" s="140"/>
      <c r="J66" s="140"/>
      <c r="K66" s="128"/>
      <c r="L66" s="77"/>
      <c r="N66" s="122"/>
    </row>
    <row r="67" spans="1:14">
      <c r="A67" s="122"/>
      <c r="B67" s="77"/>
      <c r="C67" s="77"/>
      <c r="D67" s="77"/>
      <c r="E67" s="77"/>
      <c r="F67" s="77"/>
      <c r="G67" s="77"/>
      <c r="H67" s="77"/>
      <c r="I67" s="140"/>
      <c r="J67" s="140"/>
      <c r="K67" s="128"/>
      <c r="L67" s="77"/>
      <c r="N67" s="122"/>
    </row>
    <row r="68" spans="1:14">
      <c r="A68" s="122"/>
      <c r="B68" s="77"/>
      <c r="C68" s="77"/>
      <c r="D68" s="77"/>
      <c r="E68" s="77"/>
      <c r="F68" s="77"/>
      <c r="G68" s="77"/>
      <c r="H68" s="77"/>
      <c r="I68" s="140"/>
      <c r="J68" s="140"/>
      <c r="K68" s="128"/>
      <c r="L68" s="77"/>
      <c r="N68" s="122"/>
    </row>
    <row r="69" spans="1:14">
      <c r="A69" s="122"/>
      <c r="B69" s="77"/>
      <c r="C69" s="77"/>
      <c r="D69" s="77"/>
      <c r="E69" s="77"/>
      <c r="F69" s="77"/>
      <c r="G69" s="77"/>
      <c r="H69" s="77"/>
      <c r="I69" s="140"/>
      <c r="J69" s="140"/>
      <c r="K69" s="128"/>
      <c r="L69" s="77"/>
      <c r="N69" s="122"/>
    </row>
    <row r="70" spans="1:14">
      <c r="A70" s="122"/>
      <c r="B70" s="77"/>
      <c r="C70" s="77"/>
      <c r="D70" s="77"/>
      <c r="E70" s="77"/>
      <c r="F70" s="77"/>
      <c r="G70" s="77"/>
      <c r="H70" s="77"/>
      <c r="I70" s="140"/>
      <c r="J70" s="140"/>
      <c r="K70" s="128"/>
      <c r="L70" s="77"/>
      <c r="N70" s="122"/>
    </row>
    <row r="71" spans="1:14">
      <c r="A71" s="122"/>
      <c r="B71" s="77"/>
      <c r="C71" s="77"/>
      <c r="D71" s="77"/>
      <c r="E71" s="77"/>
      <c r="F71" s="77"/>
      <c r="G71" s="77"/>
      <c r="H71" s="77"/>
      <c r="I71" s="140"/>
      <c r="J71" s="140"/>
      <c r="K71" s="128"/>
      <c r="L71" s="77"/>
      <c r="N71" s="122"/>
    </row>
    <row r="72" spans="1:14">
      <c r="A72" s="122"/>
      <c r="B72" s="77"/>
      <c r="C72" s="77"/>
      <c r="D72" s="77"/>
      <c r="E72" s="77"/>
      <c r="F72" s="77"/>
      <c r="G72" s="77"/>
      <c r="H72" s="77"/>
      <c r="I72" s="140"/>
      <c r="J72" s="140"/>
      <c r="K72" s="128"/>
      <c r="L72" s="77"/>
      <c r="N72" s="122"/>
    </row>
    <row r="73" spans="1:14">
      <c r="A73" s="122"/>
      <c r="B73" s="77"/>
      <c r="C73" s="77"/>
      <c r="D73" s="77"/>
      <c r="E73" s="77"/>
      <c r="F73" s="77"/>
      <c r="G73" s="77"/>
      <c r="H73" s="77"/>
      <c r="I73" s="140"/>
      <c r="J73" s="140"/>
      <c r="K73" s="128"/>
      <c r="L73" s="77"/>
      <c r="N73" s="122"/>
    </row>
    <row r="74" spans="1:14">
      <c r="A74" s="122"/>
      <c r="B74" s="77"/>
      <c r="C74" s="77"/>
      <c r="D74" s="77"/>
      <c r="E74" s="77"/>
      <c r="F74" s="77"/>
      <c r="G74" s="77"/>
      <c r="H74" s="77"/>
      <c r="I74" s="140"/>
      <c r="J74" s="140"/>
      <c r="K74" s="128"/>
      <c r="L74" s="77"/>
      <c r="N74" s="122"/>
    </row>
    <row r="75" spans="1:14">
      <c r="A75" s="122"/>
      <c r="B75" s="77"/>
      <c r="C75" s="77"/>
      <c r="D75" s="77"/>
      <c r="E75" s="77"/>
      <c r="F75" s="77"/>
      <c r="G75" s="77"/>
      <c r="H75" s="77"/>
      <c r="I75" s="140"/>
      <c r="J75" s="140"/>
      <c r="K75" s="128"/>
      <c r="L75" s="77"/>
      <c r="N75" s="122"/>
    </row>
    <row r="76" spans="1:14">
      <c r="A76" s="122"/>
      <c r="B76" s="77"/>
      <c r="C76" s="77"/>
      <c r="D76" s="77"/>
      <c r="E76" s="77"/>
      <c r="F76" s="77"/>
      <c r="G76" s="77"/>
      <c r="H76" s="77"/>
      <c r="I76" s="140"/>
      <c r="J76" s="140"/>
      <c r="K76" s="128"/>
      <c r="L76" s="77"/>
      <c r="N76" s="122"/>
    </row>
    <row r="77" spans="1:14">
      <c r="A77" s="122"/>
      <c r="B77" s="77"/>
      <c r="C77" s="77"/>
      <c r="D77" s="77"/>
      <c r="E77" s="77"/>
      <c r="F77" s="77"/>
      <c r="G77" s="77"/>
      <c r="H77" s="77"/>
      <c r="I77" s="140"/>
      <c r="J77" s="140"/>
      <c r="K77" s="128"/>
      <c r="L77" s="77"/>
      <c r="N77" s="122"/>
    </row>
    <row r="78" spans="1:14">
      <c r="A78" s="122"/>
      <c r="B78" s="77"/>
      <c r="C78" s="77"/>
      <c r="D78" s="77"/>
      <c r="E78" s="77"/>
      <c r="F78" s="77"/>
      <c r="G78" s="77"/>
      <c r="H78" s="77"/>
      <c r="I78" s="140"/>
      <c r="J78" s="140"/>
      <c r="K78" s="128"/>
      <c r="L78" s="77"/>
      <c r="N78" s="122"/>
    </row>
    <row r="79" spans="1:14">
      <c r="A79" s="122"/>
      <c r="B79" s="77"/>
      <c r="C79" s="77"/>
      <c r="D79" s="77"/>
      <c r="E79" s="77"/>
      <c r="F79" s="77"/>
      <c r="G79" s="77"/>
      <c r="H79" s="77"/>
      <c r="I79" s="140"/>
      <c r="J79" s="140"/>
      <c r="K79" s="128"/>
      <c r="L79" s="77"/>
      <c r="N79" s="122"/>
    </row>
    <row r="80" spans="1:14">
      <c r="A80" s="122"/>
      <c r="B80" s="77"/>
      <c r="C80" s="77"/>
      <c r="D80" s="77"/>
      <c r="E80" s="77"/>
      <c r="F80" s="77"/>
      <c r="G80" s="77"/>
      <c r="H80" s="77"/>
      <c r="I80" s="140"/>
      <c r="J80" s="140"/>
      <c r="K80" s="128"/>
      <c r="L80" s="77"/>
      <c r="N80" s="122"/>
    </row>
    <row r="81" spans="1:14">
      <c r="A81" s="122"/>
      <c r="B81" s="77"/>
      <c r="C81" s="77"/>
      <c r="D81" s="77"/>
      <c r="E81" s="77"/>
      <c r="F81" s="77"/>
      <c r="G81" s="77"/>
      <c r="H81" s="77"/>
      <c r="I81" s="140"/>
      <c r="J81" s="140"/>
      <c r="K81" s="128"/>
      <c r="L81" s="77"/>
      <c r="N81" s="122"/>
    </row>
    <row r="82" spans="1:14">
      <c r="A82" s="122"/>
      <c r="B82" s="77"/>
      <c r="C82" s="77"/>
      <c r="D82" s="77"/>
      <c r="E82" s="77"/>
      <c r="F82" s="77"/>
      <c r="G82" s="77"/>
      <c r="H82" s="77"/>
      <c r="I82" s="140"/>
      <c r="J82" s="140"/>
      <c r="K82" s="128"/>
      <c r="L82" s="77"/>
      <c r="N82" s="122"/>
    </row>
    <row r="83" spans="1:14">
      <c r="A83" s="122"/>
      <c r="B83" s="77"/>
      <c r="C83" s="77"/>
      <c r="D83" s="77"/>
      <c r="E83" s="77"/>
      <c r="F83" s="77"/>
      <c r="G83" s="77"/>
      <c r="H83" s="77"/>
      <c r="I83" s="140"/>
      <c r="J83" s="140"/>
      <c r="K83" s="128"/>
      <c r="L83" s="77"/>
      <c r="N83" s="122"/>
    </row>
    <row r="84" spans="1:14">
      <c r="A84" s="122"/>
      <c r="B84" s="77"/>
      <c r="C84" s="77"/>
      <c r="D84" s="77"/>
      <c r="E84" s="77"/>
      <c r="F84" s="77"/>
      <c r="G84" s="77"/>
      <c r="H84" s="77"/>
      <c r="I84" s="140"/>
      <c r="J84" s="140"/>
      <c r="K84" s="128"/>
      <c r="L84" s="77"/>
      <c r="N84" s="122"/>
    </row>
    <row r="85" spans="1:14">
      <c r="A85" s="122"/>
      <c r="B85" s="77"/>
      <c r="C85" s="77"/>
      <c r="D85" s="77"/>
      <c r="E85" s="77"/>
      <c r="F85" s="77"/>
      <c r="G85" s="77"/>
      <c r="H85" s="77"/>
      <c r="I85" s="140"/>
      <c r="J85" s="140"/>
      <c r="K85" s="128"/>
      <c r="L85" s="77"/>
      <c r="N85" s="122"/>
    </row>
    <row r="86" spans="1:14">
      <c r="A86" s="122"/>
      <c r="B86" s="77"/>
      <c r="C86" s="77"/>
      <c r="D86" s="77"/>
      <c r="E86" s="77"/>
      <c r="F86" s="77"/>
      <c r="G86" s="77"/>
      <c r="H86" s="77"/>
      <c r="I86" s="140"/>
      <c r="J86" s="140"/>
      <c r="K86" s="128"/>
      <c r="L86" s="77"/>
      <c r="N86" s="122"/>
    </row>
    <row r="87" spans="1:14">
      <c r="A87" s="122"/>
      <c r="B87" s="77"/>
      <c r="C87" s="77"/>
      <c r="D87" s="77"/>
      <c r="E87" s="77"/>
      <c r="F87" s="77"/>
      <c r="G87" s="77"/>
      <c r="H87" s="77"/>
      <c r="I87" s="140"/>
      <c r="J87" s="140"/>
      <c r="K87" s="128"/>
      <c r="L87" s="77"/>
      <c r="N87" s="122"/>
    </row>
    <row r="88" spans="1:14">
      <c r="A88" s="122"/>
      <c r="B88" s="77"/>
      <c r="C88" s="77"/>
      <c r="D88" s="77"/>
      <c r="E88" s="77"/>
      <c r="F88" s="77"/>
      <c r="G88" s="77"/>
      <c r="H88" s="77"/>
      <c r="I88" s="140"/>
      <c r="J88" s="140"/>
      <c r="K88" s="128"/>
      <c r="L88" s="77"/>
      <c r="N88" s="122"/>
    </row>
    <row r="89" spans="1:14">
      <c r="A89" s="122"/>
      <c r="B89" s="77"/>
      <c r="C89" s="77"/>
      <c r="D89" s="77"/>
      <c r="E89" s="77"/>
      <c r="F89" s="77"/>
      <c r="G89" s="77"/>
      <c r="H89" s="77"/>
      <c r="I89" s="140"/>
      <c r="J89" s="140"/>
      <c r="K89" s="128"/>
      <c r="L89" s="77"/>
      <c r="N89" s="122"/>
    </row>
    <row r="90" spans="1:14">
      <c r="A90" s="122"/>
      <c r="B90" s="77"/>
      <c r="C90" s="77"/>
      <c r="D90" s="77"/>
      <c r="E90" s="77"/>
      <c r="F90" s="77"/>
      <c r="G90" s="77"/>
      <c r="H90" s="77"/>
      <c r="I90" s="140"/>
      <c r="J90" s="140"/>
      <c r="K90" s="128"/>
      <c r="L90" s="77"/>
      <c r="N90" s="122"/>
    </row>
    <row r="91" spans="1:14">
      <c r="A91" s="122"/>
      <c r="B91" s="77"/>
      <c r="C91" s="77"/>
      <c r="D91" s="77"/>
      <c r="E91" s="77"/>
      <c r="F91" s="77"/>
      <c r="G91" s="77"/>
      <c r="H91" s="77"/>
      <c r="I91" s="140"/>
      <c r="J91" s="140"/>
      <c r="K91" s="77"/>
      <c r="L91" s="77"/>
      <c r="N91" s="122"/>
    </row>
    <row r="92" spans="1:14">
      <c r="A92" s="122"/>
      <c r="B92" s="77"/>
      <c r="C92" s="77"/>
      <c r="D92" s="77"/>
      <c r="E92" s="77"/>
      <c r="F92" s="77"/>
      <c r="G92" s="77"/>
      <c r="H92" s="77"/>
      <c r="I92" s="140"/>
      <c r="J92" s="140"/>
      <c r="K92" s="77"/>
      <c r="L92" s="77"/>
      <c r="N92" s="122"/>
    </row>
    <row r="93" spans="1:14">
      <c r="A93" s="122"/>
      <c r="B93" s="77"/>
      <c r="C93" s="77"/>
      <c r="D93" s="77"/>
      <c r="E93" s="77"/>
      <c r="F93" s="77"/>
      <c r="G93" s="77"/>
      <c r="H93" s="77"/>
      <c r="I93" s="140"/>
      <c r="J93" s="140"/>
      <c r="K93" s="128"/>
      <c r="L93" s="77"/>
      <c r="N93" s="122"/>
    </row>
    <row r="94" spans="1:14">
      <c r="A94" s="122"/>
      <c r="B94" s="77"/>
      <c r="C94" s="77"/>
      <c r="D94" s="77"/>
      <c r="E94" s="77"/>
      <c r="F94" s="77"/>
      <c r="G94" s="77"/>
      <c r="H94" s="77"/>
      <c r="I94" s="140"/>
      <c r="J94" s="140"/>
      <c r="K94" s="128"/>
      <c r="L94" s="77"/>
      <c r="N94" s="122"/>
    </row>
    <row r="95" spans="1:14">
      <c r="A95" s="122"/>
      <c r="B95" s="77"/>
      <c r="C95" s="77"/>
      <c r="D95" s="77"/>
      <c r="E95" s="77"/>
      <c r="F95" s="77"/>
      <c r="G95" s="77"/>
      <c r="H95" s="77"/>
      <c r="I95" s="140"/>
      <c r="J95" s="140"/>
      <c r="K95" s="128"/>
      <c r="L95" s="77"/>
      <c r="N95" s="122"/>
    </row>
    <row r="96" spans="1:14">
      <c r="A96" s="122"/>
      <c r="B96" s="77"/>
      <c r="C96" s="77"/>
      <c r="D96" s="77"/>
      <c r="E96" s="77"/>
      <c r="F96" s="77"/>
      <c r="G96" s="77"/>
      <c r="H96" s="77"/>
      <c r="I96" s="140"/>
      <c r="J96" s="140"/>
      <c r="K96" s="128"/>
      <c r="L96" s="77"/>
      <c r="N96" s="122"/>
    </row>
    <row r="97" spans="1:14">
      <c r="A97" s="122"/>
      <c r="B97" s="77"/>
      <c r="C97" s="77"/>
      <c r="D97" s="77"/>
      <c r="E97" s="77"/>
      <c r="F97" s="77"/>
      <c r="G97" s="77"/>
      <c r="H97" s="77"/>
      <c r="I97" s="140"/>
      <c r="J97" s="140"/>
      <c r="K97" s="128"/>
      <c r="L97" s="77"/>
      <c r="N97" s="122"/>
    </row>
    <row r="98" spans="1:14">
      <c r="A98" s="122"/>
      <c r="B98" s="77"/>
      <c r="C98" s="77"/>
      <c r="D98" s="77"/>
      <c r="E98" s="77"/>
      <c r="F98" s="77"/>
      <c r="G98" s="77"/>
      <c r="H98" s="77"/>
      <c r="I98" s="140"/>
      <c r="J98" s="140"/>
      <c r="K98" s="128"/>
      <c r="L98" s="77"/>
      <c r="N98" s="122"/>
    </row>
    <row r="99" spans="1:14">
      <c r="A99" s="122"/>
      <c r="B99" s="77"/>
      <c r="C99" s="77"/>
      <c r="D99" s="77"/>
      <c r="E99" s="77"/>
      <c r="F99" s="77"/>
      <c r="G99" s="77"/>
      <c r="H99" s="77"/>
      <c r="I99" s="140"/>
      <c r="J99" s="140"/>
      <c r="K99" s="128"/>
      <c r="L99" s="77"/>
      <c r="N99" s="122"/>
    </row>
    <row r="100" spans="1:14">
      <c r="A100" s="122"/>
      <c r="B100" s="77"/>
      <c r="C100" s="77"/>
      <c r="D100" s="77"/>
      <c r="E100" s="77"/>
      <c r="F100" s="77"/>
      <c r="G100" s="77"/>
      <c r="H100" s="77"/>
      <c r="I100" s="140"/>
      <c r="J100" s="140"/>
      <c r="K100" s="128"/>
      <c r="L100" s="77"/>
      <c r="N100" s="122"/>
    </row>
    <row r="101" spans="1:14">
      <c r="A101" s="122"/>
      <c r="B101" s="77"/>
      <c r="C101" s="77"/>
      <c r="D101" s="77"/>
      <c r="E101" s="77"/>
      <c r="F101" s="77"/>
      <c r="G101" s="77"/>
      <c r="H101" s="77"/>
      <c r="I101" s="140"/>
      <c r="J101" s="140"/>
      <c r="K101" s="128"/>
      <c r="L101" s="77"/>
      <c r="N101" s="122"/>
    </row>
    <row r="102" spans="1:14">
      <c r="A102" s="122"/>
      <c r="B102" s="77"/>
      <c r="C102" s="77"/>
      <c r="D102" s="77"/>
      <c r="E102" s="77"/>
      <c r="F102" s="77"/>
      <c r="G102" s="77"/>
      <c r="H102" s="77"/>
      <c r="I102" s="140"/>
      <c r="J102" s="140"/>
      <c r="K102" s="128"/>
      <c r="L102" s="77"/>
      <c r="N102" s="122"/>
    </row>
    <row r="103" spans="1:14">
      <c r="A103" s="122"/>
      <c r="B103" s="77"/>
      <c r="C103" s="77"/>
      <c r="D103" s="77"/>
      <c r="E103" s="77"/>
      <c r="F103" s="77"/>
      <c r="G103" s="77"/>
      <c r="H103" s="77"/>
      <c r="I103" s="140"/>
      <c r="J103" s="140"/>
      <c r="K103" s="128"/>
      <c r="L103" s="77"/>
      <c r="N103" s="122"/>
    </row>
    <row r="104" spans="1:14">
      <c r="A104" s="122"/>
      <c r="B104" s="77"/>
      <c r="C104" s="77"/>
      <c r="D104" s="77"/>
      <c r="E104" s="77"/>
      <c r="F104" s="77"/>
      <c r="G104" s="77"/>
      <c r="H104" s="77"/>
      <c r="I104" s="140"/>
      <c r="J104" s="140"/>
      <c r="K104" s="128"/>
      <c r="L104" s="77"/>
      <c r="N104" s="122"/>
    </row>
    <row r="105" spans="1:14">
      <c r="A105" s="122"/>
      <c r="B105" s="77"/>
      <c r="C105" s="77"/>
      <c r="D105" s="77"/>
      <c r="E105" s="77"/>
      <c r="F105" s="77"/>
      <c r="G105" s="77"/>
      <c r="H105" s="77"/>
      <c r="I105" s="140"/>
      <c r="J105" s="140"/>
      <c r="K105" s="128"/>
      <c r="L105" s="77"/>
      <c r="N105" s="122"/>
    </row>
    <row r="106" spans="1:14">
      <c r="A106" s="122"/>
      <c r="B106" s="77"/>
      <c r="C106" s="77"/>
      <c r="D106" s="77"/>
      <c r="E106" s="77"/>
      <c r="F106" s="77"/>
      <c r="G106" s="77"/>
      <c r="H106" s="77"/>
      <c r="I106" s="140"/>
      <c r="J106" s="140"/>
      <c r="K106" s="128"/>
      <c r="L106" s="77"/>
      <c r="N106" s="122"/>
    </row>
    <row r="107" spans="1:14">
      <c r="A107" s="122"/>
      <c r="B107" s="77"/>
      <c r="C107" s="77"/>
      <c r="D107" s="77"/>
      <c r="E107" s="77"/>
      <c r="F107" s="77"/>
      <c r="G107" s="77"/>
      <c r="H107" s="77"/>
      <c r="I107" s="140"/>
      <c r="J107" s="140"/>
      <c r="K107" s="128"/>
      <c r="L107" s="77"/>
      <c r="N107" s="122"/>
    </row>
    <row r="108" spans="1:14">
      <c r="A108" s="122"/>
      <c r="B108" s="77"/>
      <c r="C108" s="77"/>
      <c r="D108" s="77"/>
      <c r="E108" s="77"/>
      <c r="F108" s="77"/>
      <c r="G108" s="77"/>
      <c r="H108" s="77"/>
      <c r="I108" s="140"/>
      <c r="J108" s="140"/>
      <c r="K108" s="128"/>
      <c r="L108" s="77"/>
      <c r="N108" s="122"/>
    </row>
    <row r="109" spans="1:14">
      <c r="A109" s="122"/>
      <c r="B109" s="77"/>
      <c r="C109" s="77"/>
      <c r="D109" s="77"/>
      <c r="E109" s="77"/>
      <c r="F109" s="77"/>
      <c r="G109" s="77"/>
      <c r="H109" s="77"/>
      <c r="I109" s="140"/>
      <c r="J109" s="140"/>
      <c r="K109" s="128"/>
      <c r="L109" s="77"/>
      <c r="N109" s="122"/>
    </row>
    <row r="110" spans="1:14">
      <c r="A110" s="122"/>
      <c r="B110" s="77"/>
      <c r="C110" s="77"/>
      <c r="D110" s="77"/>
      <c r="E110" s="77"/>
      <c r="F110" s="77"/>
      <c r="G110" s="77"/>
      <c r="H110" s="77"/>
      <c r="I110" s="140"/>
      <c r="J110" s="140"/>
      <c r="K110" s="128"/>
      <c r="L110" s="77"/>
      <c r="N110" s="122"/>
    </row>
    <row r="111" spans="1:14">
      <c r="A111" s="122"/>
      <c r="B111" s="77"/>
      <c r="C111" s="77"/>
      <c r="D111" s="77"/>
      <c r="E111" s="77"/>
      <c r="F111" s="77"/>
      <c r="G111" s="77"/>
      <c r="H111" s="77"/>
      <c r="I111" s="140"/>
      <c r="J111" s="140"/>
      <c r="K111" s="128"/>
      <c r="L111" s="77"/>
      <c r="N111" s="122"/>
    </row>
    <row r="112" spans="1:14">
      <c r="A112" s="122"/>
      <c r="B112" s="77"/>
      <c r="C112" s="77"/>
      <c r="D112" s="77"/>
      <c r="E112" s="77"/>
      <c r="F112" s="77"/>
      <c r="G112" s="77"/>
      <c r="H112" s="77"/>
      <c r="I112" s="140"/>
      <c r="J112" s="140"/>
      <c r="K112" s="128"/>
      <c r="L112" s="77"/>
      <c r="N112" s="122"/>
    </row>
    <row r="113" spans="1:14">
      <c r="A113" s="122"/>
      <c r="B113" s="77"/>
      <c r="C113" s="77"/>
      <c r="D113" s="77"/>
      <c r="E113" s="77"/>
      <c r="F113" s="77"/>
      <c r="G113" s="77"/>
      <c r="H113" s="77"/>
      <c r="I113" s="140"/>
      <c r="J113" s="140"/>
      <c r="K113" s="128"/>
      <c r="L113" s="77"/>
      <c r="N113" s="122"/>
    </row>
    <row r="114" spans="1:14">
      <c r="A114" s="122"/>
      <c r="B114" s="77"/>
      <c r="C114" s="77"/>
      <c r="D114" s="77"/>
      <c r="E114" s="77"/>
      <c r="F114" s="77"/>
      <c r="G114" s="77"/>
      <c r="H114" s="77"/>
      <c r="I114" s="140"/>
      <c r="J114" s="140"/>
      <c r="K114" s="128"/>
      <c r="L114" s="77"/>
      <c r="N114" s="122"/>
    </row>
    <row r="115" spans="1:14">
      <c r="A115" s="122"/>
      <c r="B115" s="77"/>
      <c r="C115" s="77"/>
      <c r="D115" s="77"/>
      <c r="E115" s="77"/>
      <c r="F115" s="77"/>
      <c r="G115" s="77"/>
      <c r="H115" s="77"/>
      <c r="I115" s="140"/>
      <c r="J115" s="140"/>
      <c r="K115" s="128"/>
      <c r="L115" s="77"/>
      <c r="N115" s="122"/>
    </row>
    <row r="116" spans="1:14">
      <c r="A116" s="122"/>
      <c r="B116" s="77"/>
      <c r="C116" s="77"/>
      <c r="D116" s="77"/>
      <c r="E116" s="77"/>
      <c r="F116" s="77"/>
      <c r="G116" s="77"/>
      <c r="H116" s="77"/>
      <c r="I116" s="140"/>
      <c r="J116" s="140"/>
      <c r="K116" s="128"/>
      <c r="L116" s="77"/>
      <c r="N116" s="122"/>
    </row>
    <row r="117" spans="1:14">
      <c r="A117" s="122"/>
      <c r="B117" s="77"/>
      <c r="C117" s="77"/>
      <c r="D117" s="77"/>
      <c r="E117" s="77"/>
      <c r="F117" s="77"/>
      <c r="G117" s="77"/>
      <c r="H117" s="77"/>
      <c r="I117" s="140"/>
      <c r="J117" s="140"/>
      <c r="K117" s="128"/>
      <c r="L117" s="77"/>
      <c r="N117" s="122"/>
    </row>
    <row r="118" spans="1:14">
      <c r="A118" s="122"/>
      <c r="B118" s="77"/>
      <c r="C118" s="77"/>
      <c r="D118" s="77"/>
      <c r="E118" s="77"/>
      <c r="F118" s="77"/>
      <c r="G118" s="77"/>
      <c r="H118" s="77"/>
      <c r="I118" s="140"/>
      <c r="J118" s="140"/>
      <c r="K118" s="128"/>
      <c r="L118" s="77"/>
      <c r="N118" s="122"/>
    </row>
    <row r="119" spans="1:14">
      <c r="A119" s="122"/>
      <c r="B119" s="77"/>
      <c r="C119" s="77"/>
      <c r="D119" s="77"/>
      <c r="E119" s="77"/>
      <c r="F119" s="77"/>
      <c r="G119" s="77"/>
      <c r="H119" s="77"/>
      <c r="I119" s="140"/>
      <c r="J119" s="140"/>
      <c r="K119" s="128"/>
      <c r="L119" s="77"/>
      <c r="N119" s="122"/>
    </row>
    <row r="120" spans="1:14">
      <c r="A120" s="122"/>
      <c r="B120" s="77"/>
      <c r="C120" s="77"/>
      <c r="D120" s="77"/>
      <c r="E120" s="77"/>
      <c r="F120" s="77"/>
      <c r="G120" s="77"/>
      <c r="H120" s="77"/>
      <c r="I120" s="140"/>
      <c r="J120" s="140"/>
      <c r="K120" s="128"/>
      <c r="L120" s="77"/>
      <c r="N120" s="122"/>
    </row>
    <row r="121" spans="1:14">
      <c r="A121" s="122"/>
      <c r="B121" s="77"/>
      <c r="C121" s="77"/>
      <c r="D121" s="77"/>
      <c r="E121" s="77"/>
      <c r="F121" s="77"/>
      <c r="G121" s="77"/>
      <c r="H121" s="77"/>
      <c r="I121" s="140"/>
      <c r="J121" s="140"/>
      <c r="K121" s="128"/>
      <c r="L121" s="77"/>
      <c r="N121" s="122"/>
    </row>
    <row r="122" spans="1:14">
      <c r="A122" s="122"/>
      <c r="B122" s="77"/>
      <c r="C122" s="77"/>
      <c r="D122" s="77"/>
      <c r="E122" s="77"/>
      <c r="F122" s="77"/>
      <c r="G122" s="77"/>
      <c r="H122" s="77"/>
      <c r="I122" s="140"/>
      <c r="J122" s="140"/>
      <c r="K122" s="128"/>
      <c r="L122" s="77"/>
      <c r="N122" s="122"/>
    </row>
    <row r="123" spans="1:14">
      <c r="A123" s="122"/>
      <c r="B123" s="77"/>
      <c r="C123" s="77"/>
      <c r="D123" s="77"/>
      <c r="E123" s="77"/>
      <c r="F123" s="77"/>
      <c r="G123" s="77"/>
      <c r="H123" s="77"/>
      <c r="I123" s="140"/>
      <c r="J123" s="140"/>
      <c r="K123" s="128"/>
      <c r="L123" s="77"/>
      <c r="N123" s="122"/>
    </row>
    <row r="124" spans="1:14">
      <c r="A124" s="122"/>
      <c r="B124" s="77"/>
      <c r="C124" s="77"/>
      <c r="D124" s="77"/>
      <c r="E124" s="77"/>
      <c r="F124" s="77"/>
      <c r="G124" s="77"/>
      <c r="H124" s="77"/>
      <c r="I124" s="140"/>
      <c r="J124" s="140"/>
      <c r="K124" s="128"/>
      <c r="L124" s="77"/>
      <c r="N124" s="122"/>
    </row>
    <row r="125" spans="1:14">
      <c r="A125" s="122"/>
      <c r="B125" s="77"/>
      <c r="C125" s="77"/>
      <c r="D125" s="77"/>
      <c r="E125" s="77"/>
      <c r="F125" s="77"/>
      <c r="G125" s="77"/>
      <c r="H125" s="77"/>
      <c r="I125" s="140"/>
      <c r="J125" s="140"/>
      <c r="K125" s="128"/>
      <c r="L125" s="77"/>
      <c r="N125" s="122"/>
    </row>
    <row r="126" spans="1:14">
      <c r="A126" s="122"/>
      <c r="B126" s="77"/>
      <c r="C126" s="77"/>
      <c r="D126" s="77"/>
      <c r="E126" s="77"/>
      <c r="F126" s="77"/>
      <c r="G126" s="77"/>
      <c r="H126" s="77"/>
      <c r="I126" s="140"/>
      <c r="J126" s="140"/>
      <c r="K126" s="128"/>
      <c r="L126" s="77"/>
      <c r="N126" s="122"/>
    </row>
    <row r="127" spans="1:14">
      <c r="A127" s="122"/>
      <c r="B127" s="77"/>
      <c r="C127" s="77"/>
      <c r="D127" s="77"/>
      <c r="E127" s="77"/>
      <c r="F127" s="77"/>
      <c r="G127" s="77"/>
      <c r="H127" s="77"/>
      <c r="I127" s="140"/>
      <c r="J127" s="140"/>
      <c r="K127" s="128"/>
      <c r="L127" s="77"/>
      <c r="N127" s="122"/>
    </row>
    <row r="128" spans="1:14">
      <c r="A128" s="122"/>
      <c r="B128" s="77"/>
      <c r="C128" s="77"/>
      <c r="D128" s="77"/>
      <c r="E128" s="77"/>
      <c r="F128" s="77"/>
      <c r="G128" s="77"/>
      <c r="H128" s="77"/>
      <c r="I128" s="140"/>
      <c r="J128" s="140"/>
      <c r="K128" s="128"/>
      <c r="L128" s="77"/>
      <c r="N128" s="122"/>
    </row>
    <row r="129" spans="1:14">
      <c r="A129" s="122"/>
      <c r="B129" s="77"/>
      <c r="C129" s="77"/>
      <c r="D129" s="77"/>
      <c r="E129" s="77"/>
      <c r="F129" s="77"/>
      <c r="G129" s="77"/>
      <c r="H129" s="77"/>
      <c r="I129" s="140"/>
      <c r="J129" s="140"/>
      <c r="K129" s="128"/>
      <c r="L129" s="77"/>
      <c r="N129" s="122"/>
    </row>
    <row r="130" spans="1:14">
      <c r="A130" s="122"/>
      <c r="B130" s="77"/>
      <c r="C130" s="77"/>
      <c r="D130" s="77"/>
      <c r="E130" s="77"/>
      <c r="F130" s="77"/>
      <c r="G130" s="77"/>
      <c r="H130" s="77"/>
      <c r="I130" s="140"/>
      <c r="J130" s="140"/>
      <c r="K130" s="128"/>
      <c r="L130" s="77"/>
      <c r="N130" s="122"/>
    </row>
    <row r="131" spans="1:14">
      <c r="A131" s="122"/>
      <c r="B131" s="77"/>
      <c r="C131" s="77"/>
      <c r="D131" s="77"/>
      <c r="E131" s="77"/>
      <c r="F131" s="77"/>
      <c r="G131" s="77"/>
      <c r="H131" s="77"/>
      <c r="I131" s="140"/>
      <c r="J131" s="140"/>
      <c r="K131" s="128"/>
      <c r="L131" s="77"/>
      <c r="N131" s="122"/>
    </row>
    <row r="132" spans="1:14">
      <c r="A132" s="122"/>
      <c r="B132" s="77"/>
      <c r="C132" s="77"/>
      <c r="D132" s="77"/>
      <c r="E132" s="77"/>
      <c r="F132" s="77"/>
      <c r="G132" s="77"/>
      <c r="H132" s="77"/>
      <c r="I132" s="140"/>
      <c r="J132" s="140"/>
      <c r="K132" s="128"/>
      <c r="L132" s="77"/>
      <c r="N132" s="122"/>
    </row>
    <row r="133" spans="1:14">
      <c r="A133" s="122"/>
      <c r="B133" s="77"/>
      <c r="C133" s="77"/>
      <c r="D133" s="77"/>
      <c r="E133" s="77"/>
      <c r="F133" s="77"/>
      <c r="G133" s="77"/>
      <c r="H133" s="77"/>
      <c r="I133" s="140"/>
      <c r="J133" s="140"/>
      <c r="K133" s="128"/>
      <c r="L133" s="77"/>
      <c r="N133" s="122"/>
    </row>
    <row r="134" spans="1:14">
      <c r="A134" s="122"/>
      <c r="B134" s="77"/>
      <c r="C134" s="77"/>
      <c r="D134" s="77"/>
      <c r="E134" s="77"/>
      <c r="F134" s="77"/>
      <c r="G134" s="77"/>
      <c r="H134" s="77"/>
      <c r="I134" s="140"/>
      <c r="J134" s="140"/>
      <c r="K134" s="128"/>
      <c r="L134" s="77"/>
      <c r="N134" s="122"/>
    </row>
    <row r="135" spans="1:14">
      <c r="A135" s="122"/>
      <c r="B135" s="77"/>
      <c r="C135" s="77"/>
      <c r="D135" s="77"/>
      <c r="E135" s="77"/>
      <c r="F135" s="77"/>
      <c r="G135" s="77"/>
      <c r="H135" s="77"/>
      <c r="I135" s="140"/>
      <c r="J135" s="140"/>
      <c r="K135" s="77"/>
      <c r="L135" s="77"/>
      <c r="N135" s="122"/>
    </row>
    <row r="136" spans="1:14">
      <c r="A136" s="122"/>
      <c r="B136" s="77"/>
      <c r="C136" s="77"/>
      <c r="D136" s="77"/>
      <c r="E136" s="77"/>
      <c r="F136" s="77"/>
      <c r="G136" s="77"/>
      <c r="H136" s="77"/>
      <c r="I136" s="140"/>
      <c r="J136" s="140"/>
      <c r="K136" s="128"/>
      <c r="L136" s="77"/>
      <c r="N136" s="122"/>
    </row>
    <row r="137" spans="1:14">
      <c r="A137" s="122"/>
      <c r="B137" s="77"/>
      <c r="C137" s="77"/>
      <c r="D137" s="77"/>
      <c r="E137" s="77"/>
      <c r="F137" s="77"/>
      <c r="G137" s="77"/>
      <c r="H137" s="77"/>
      <c r="I137" s="140"/>
      <c r="J137" s="140"/>
      <c r="K137" s="77"/>
      <c r="L137" s="77"/>
      <c r="N137" s="122"/>
    </row>
    <row r="138" spans="1:14">
      <c r="B138" s="137"/>
      <c r="C138" s="137"/>
      <c r="D138" s="137"/>
      <c r="E138" s="137"/>
      <c r="F138" s="137"/>
      <c r="G138" s="137"/>
      <c r="H138" s="137"/>
      <c r="I138" s="138"/>
      <c r="J138" s="139"/>
      <c r="K138" s="128"/>
      <c r="L138" s="77"/>
    </row>
    <row r="139" spans="1:14">
      <c r="B139" s="18"/>
      <c r="C139" s="18"/>
      <c r="D139" s="18"/>
      <c r="E139" s="18"/>
      <c r="F139" s="18"/>
      <c r="G139" s="18"/>
      <c r="H139" s="18"/>
      <c r="I139" s="24"/>
      <c r="J139" s="123"/>
      <c r="K139" s="128"/>
      <c r="L139" s="77"/>
    </row>
    <row r="140" spans="1:14">
      <c r="B140" s="18"/>
      <c r="C140" s="18"/>
      <c r="D140" s="18"/>
      <c r="E140" s="18"/>
      <c r="F140" s="18"/>
      <c r="G140" s="18"/>
      <c r="H140" s="18"/>
      <c r="I140" s="24"/>
      <c r="J140" s="123"/>
      <c r="K140" s="128"/>
      <c r="L140" s="77"/>
    </row>
    <row r="141" spans="1:14">
      <c r="B141" s="18"/>
      <c r="C141" s="18"/>
      <c r="D141" s="18"/>
      <c r="E141" s="18"/>
      <c r="F141" s="18"/>
      <c r="G141" s="18"/>
      <c r="H141" s="18"/>
      <c r="I141" s="24"/>
      <c r="J141" s="123"/>
      <c r="K141" s="128"/>
      <c r="L141" s="77"/>
    </row>
    <row r="142" spans="1:14">
      <c r="B142" s="18"/>
      <c r="C142" s="18"/>
      <c r="D142" s="18"/>
      <c r="E142" s="18"/>
      <c r="F142" s="18"/>
      <c r="G142" s="18"/>
      <c r="H142" s="18"/>
      <c r="I142" s="24"/>
      <c r="J142" s="123"/>
      <c r="K142" s="128"/>
      <c r="L142" s="77"/>
    </row>
    <row r="143" spans="1:14">
      <c r="B143" s="18"/>
      <c r="C143" s="18"/>
      <c r="D143" s="18"/>
      <c r="E143" s="18"/>
      <c r="F143" s="18"/>
      <c r="G143" s="18"/>
      <c r="H143" s="18"/>
      <c r="I143" s="24"/>
      <c r="J143" s="123"/>
      <c r="K143" s="128"/>
      <c r="L143" s="77"/>
    </row>
    <row r="144" spans="1:14">
      <c r="B144" s="18"/>
      <c r="C144" s="18"/>
      <c r="D144" s="18"/>
      <c r="E144" s="18"/>
      <c r="F144" s="18"/>
      <c r="G144" s="18"/>
      <c r="H144" s="18"/>
      <c r="I144" s="24"/>
      <c r="J144" s="123"/>
      <c r="K144" s="128"/>
      <c r="L144" s="77"/>
    </row>
    <row r="145" spans="2:12">
      <c r="B145" s="18"/>
      <c r="C145" s="18"/>
      <c r="D145" s="18"/>
      <c r="E145" s="18"/>
      <c r="F145" s="18"/>
      <c r="G145" s="18"/>
      <c r="H145" s="18"/>
      <c r="I145" s="24"/>
      <c r="J145" s="123"/>
      <c r="K145" s="128"/>
      <c r="L145" s="77"/>
    </row>
    <row r="146" spans="2:12">
      <c r="B146" s="18"/>
      <c r="C146" s="18"/>
      <c r="D146" s="18"/>
      <c r="E146" s="18"/>
      <c r="F146" s="18"/>
      <c r="G146" s="18"/>
      <c r="H146" s="18"/>
      <c r="I146" s="24"/>
      <c r="J146" s="123"/>
      <c r="K146" s="128"/>
      <c r="L146" s="77"/>
    </row>
    <row r="147" spans="2:12">
      <c r="B147" s="18"/>
      <c r="C147" s="18"/>
      <c r="D147" s="18"/>
      <c r="E147" s="18"/>
      <c r="F147" s="18"/>
      <c r="G147" s="18"/>
      <c r="H147" s="18"/>
      <c r="I147" s="24"/>
      <c r="J147" s="123"/>
      <c r="K147" s="128"/>
      <c r="L147" s="77"/>
    </row>
    <row r="148" spans="2:12">
      <c r="B148" s="18"/>
      <c r="C148" s="18"/>
      <c r="D148" s="18"/>
      <c r="E148" s="18"/>
      <c r="F148" s="18"/>
      <c r="G148" s="18"/>
      <c r="H148" s="18"/>
      <c r="I148" s="24"/>
      <c r="J148" s="123"/>
      <c r="K148" s="128"/>
      <c r="L148" s="77"/>
    </row>
    <row r="149" spans="2:12">
      <c r="B149" s="18"/>
      <c r="C149" s="18"/>
      <c r="D149" s="18"/>
      <c r="E149" s="18"/>
      <c r="F149" s="18"/>
      <c r="G149" s="18"/>
      <c r="H149" s="18"/>
      <c r="I149" s="24"/>
      <c r="J149" s="123"/>
      <c r="K149" s="128"/>
      <c r="L149" s="77"/>
    </row>
    <row r="150" spans="2:12">
      <c r="B150" s="18"/>
      <c r="C150" s="18"/>
      <c r="D150" s="18"/>
      <c r="E150" s="18"/>
      <c r="F150" s="18"/>
      <c r="G150" s="18"/>
      <c r="H150" s="18"/>
      <c r="I150" s="24"/>
      <c r="J150" s="123"/>
      <c r="K150" s="77"/>
      <c r="L150" s="77"/>
    </row>
    <row r="151" spans="2:12">
      <c r="B151" s="18"/>
      <c r="C151" s="18"/>
      <c r="D151" s="18"/>
      <c r="E151" s="18"/>
      <c r="F151" s="18"/>
      <c r="G151" s="18"/>
      <c r="H151" s="18"/>
      <c r="I151" s="24"/>
      <c r="J151" s="123"/>
      <c r="K151" s="77"/>
      <c r="L151" s="77"/>
    </row>
    <row r="152" spans="2:12">
      <c r="B152" s="18"/>
      <c r="C152" s="18"/>
      <c r="D152" s="18"/>
      <c r="E152" s="18"/>
      <c r="F152" s="18"/>
      <c r="G152" s="18"/>
      <c r="H152" s="18"/>
      <c r="I152" s="24"/>
      <c r="J152" s="123"/>
      <c r="K152" s="77"/>
      <c r="L152" s="77"/>
    </row>
    <row r="153" spans="2:12">
      <c r="B153" s="18"/>
      <c r="C153" s="18"/>
      <c r="D153" s="18"/>
      <c r="E153" s="18"/>
      <c r="F153" s="18"/>
      <c r="G153" s="18"/>
      <c r="H153" s="18"/>
      <c r="I153" s="24"/>
      <c r="J153" s="123"/>
      <c r="K153" s="77"/>
      <c r="L153" s="77"/>
    </row>
    <row r="154" spans="2:12">
      <c r="B154" s="18"/>
      <c r="C154" s="18"/>
      <c r="D154" s="18"/>
      <c r="E154" s="18"/>
      <c r="F154" s="18"/>
      <c r="G154" s="18"/>
      <c r="H154" s="18"/>
      <c r="I154" s="24"/>
      <c r="J154" s="123"/>
      <c r="K154" s="77"/>
      <c r="L154" s="77"/>
    </row>
    <row r="155" spans="2:12">
      <c r="B155" s="18"/>
      <c r="C155" s="18"/>
      <c r="D155" s="18"/>
      <c r="E155" s="18"/>
      <c r="F155" s="18"/>
      <c r="G155" s="18"/>
      <c r="H155" s="18"/>
      <c r="I155" s="24"/>
      <c r="J155" s="123"/>
      <c r="K155" s="77"/>
      <c r="L155" s="77"/>
    </row>
    <row r="156" spans="2:12">
      <c r="B156" s="18"/>
      <c r="C156" s="18"/>
      <c r="D156" s="18"/>
      <c r="E156" s="18"/>
      <c r="F156" s="18"/>
      <c r="G156" s="18"/>
      <c r="H156" s="18"/>
      <c r="I156" s="24"/>
      <c r="J156" s="123"/>
      <c r="K156" s="128"/>
      <c r="L156" s="77"/>
    </row>
    <row r="157" spans="2:12">
      <c r="B157" s="18"/>
      <c r="C157" s="18"/>
      <c r="D157" s="18"/>
      <c r="E157" s="18"/>
      <c r="F157" s="18"/>
      <c r="G157" s="18"/>
      <c r="H157" s="18"/>
      <c r="I157" s="24"/>
      <c r="J157" s="123"/>
      <c r="K157" s="128"/>
      <c r="L157" s="77"/>
    </row>
    <row r="158" spans="2:12">
      <c r="B158" s="18"/>
      <c r="C158" s="18"/>
      <c r="D158" s="18"/>
      <c r="E158" s="18"/>
      <c r="F158" s="18"/>
      <c r="G158" s="18"/>
      <c r="H158" s="18"/>
      <c r="I158" s="24"/>
      <c r="J158" s="123"/>
      <c r="K158" s="128"/>
      <c r="L158" s="77"/>
    </row>
    <row r="159" spans="2:12">
      <c r="B159" s="18"/>
      <c r="C159" s="18"/>
      <c r="D159" s="18"/>
      <c r="E159" s="18"/>
      <c r="F159" s="18"/>
      <c r="G159" s="18"/>
      <c r="H159" s="18"/>
      <c r="I159" s="24"/>
      <c r="J159" s="123"/>
      <c r="K159" s="77"/>
      <c r="L159" s="77"/>
    </row>
    <row r="160" spans="2:12">
      <c r="B160" s="18"/>
      <c r="C160" s="18"/>
      <c r="D160" s="18"/>
      <c r="E160" s="18"/>
      <c r="F160" s="18"/>
      <c r="G160" s="18"/>
      <c r="H160" s="18"/>
      <c r="I160" s="24"/>
      <c r="J160" s="123"/>
      <c r="K160" s="77"/>
      <c r="L160" s="77"/>
    </row>
    <row r="161" spans="2:12">
      <c r="B161" s="18"/>
      <c r="C161" s="18"/>
      <c r="D161" s="18"/>
      <c r="E161" s="18"/>
      <c r="F161" s="18"/>
      <c r="G161" s="18"/>
      <c r="H161" s="18"/>
      <c r="I161" s="24"/>
      <c r="J161" s="123"/>
      <c r="K161" s="77"/>
      <c r="L161" s="77"/>
    </row>
    <row r="162" spans="2:12">
      <c r="B162" s="18"/>
      <c r="C162" s="18"/>
      <c r="D162" s="18"/>
      <c r="E162" s="18"/>
      <c r="F162" s="18"/>
      <c r="G162" s="18"/>
      <c r="H162" s="18"/>
      <c r="I162" s="24"/>
      <c r="J162" s="123"/>
      <c r="K162" s="77"/>
      <c r="L162" s="77"/>
    </row>
    <row r="163" spans="2:12">
      <c r="B163" s="18"/>
      <c r="C163" s="18"/>
      <c r="D163" s="18"/>
      <c r="E163" s="18"/>
      <c r="F163" s="18"/>
      <c r="G163" s="18"/>
      <c r="H163" s="18"/>
      <c r="I163" s="24"/>
      <c r="J163" s="123"/>
      <c r="K163" s="77"/>
      <c r="L163" s="77"/>
    </row>
    <row r="164" spans="2:12">
      <c r="B164" s="18"/>
      <c r="C164" s="18"/>
      <c r="D164" s="18"/>
      <c r="E164" s="18"/>
      <c r="F164" s="18"/>
      <c r="G164" s="18"/>
      <c r="H164" s="18"/>
      <c r="I164" s="24"/>
      <c r="J164" s="123"/>
      <c r="K164" s="128"/>
      <c r="L164" s="77"/>
    </row>
    <row r="165" spans="2:12">
      <c r="B165" s="18"/>
      <c r="C165" s="18"/>
      <c r="D165" s="18"/>
      <c r="E165" s="18"/>
      <c r="F165" s="18"/>
      <c r="G165" s="18"/>
      <c r="H165" s="18"/>
      <c r="I165" s="24"/>
      <c r="J165" s="123"/>
      <c r="K165" s="128"/>
      <c r="L165" s="77"/>
    </row>
    <row r="166" spans="2:12">
      <c r="B166" s="18"/>
      <c r="C166" s="18"/>
      <c r="D166" s="18"/>
      <c r="E166" s="18"/>
      <c r="F166" s="18"/>
      <c r="G166" s="18"/>
      <c r="H166" s="18"/>
      <c r="I166" s="24"/>
      <c r="J166" s="123"/>
      <c r="K166" s="128"/>
      <c r="L166" s="77"/>
    </row>
    <row r="167" spans="2:12">
      <c r="B167" s="18"/>
      <c r="C167" s="18"/>
      <c r="D167" s="18"/>
      <c r="E167" s="18"/>
      <c r="F167" s="18"/>
      <c r="G167" s="18"/>
      <c r="H167" s="18"/>
      <c r="I167" s="24"/>
      <c r="J167" s="123"/>
      <c r="K167" s="77"/>
      <c r="L167" s="77"/>
    </row>
    <row r="168" spans="2:12">
      <c r="B168" s="18"/>
      <c r="C168" s="18"/>
      <c r="D168" s="18"/>
      <c r="E168" s="18"/>
      <c r="F168" s="18"/>
      <c r="G168" s="18"/>
      <c r="H168" s="18"/>
      <c r="I168" s="24"/>
      <c r="J168" s="123"/>
      <c r="K168" s="128"/>
      <c r="L168" s="77"/>
    </row>
    <row r="169" spans="2:12">
      <c r="B169" s="18"/>
      <c r="C169" s="18"/>
      <c r="D169" s="18"/>
      <c r="E169" s="18"/>
      <c r="F169" s="18"/>
      <c r="G169" s="18"/>
      <c r="H169" s="18"/>
      <c r="I169" s="24"/>
      <c r="J169" s="123"/>
      <c r="K169" s="77"/>
      <c r="L169" s="77"/>
    </row>
    <row r="170" spans="2:12">
      <c r="B170" s="18"/>
      <c r="C170" s="18"/>
      <c r="D170" s="18"/>
      <c r="E170" s="18"/>
      <c r="F170" s="18"/>
      <c r="G170" s="18"/>
      <c r="H170" s="18"/>
      <c r="I170" s="24"/>
      <c r="J170" s="123"/>
      <c r="K170" s="128"/>
      <c r="L170" s="77"/>
    </row>
    <row r="171" spans="2:12">
      <c r="B171" s="18"/>
      <c r="C171" s="18"/>
      <c r="D171" s="18"/>
      <c r="E171" s="18"/>
      <c r="F171" s="18"/>
      <c r="G171" s="18"/>
      <c r="H171" s="18"/>
      <c r="I171" s="24"/>
      <c r="J171" s="123"/>
      <c r="K171" s="128"/>
      <c r="L171" s="77"/>
    </row>
    <row r="172" spans="2:12">
      <c r="B172" s="18"/>
      <c r="C172" s="18"/>
      <c r="D172" s="18"/>
      <c r="E172" s="18"/>
      <c r="F172" s="18"/>
      <c r="G172" s="18"/>
      <c r="H172" s="18"/>
      <c r="I172" s="24"/>
      <c r="J172" s="123"/>
      <c r="K172" s="128"/>
      <c r="L172" s="77"/>
    </row>
    <row r="173" spans="2:12">
      <c r="B173" s="18"/>
      <c r="C173" s="18"/>
      <c r="D173" s="18"/>
      <c r="E173" s="18"/>
      <c r="F173" s="18"/>
      <c r="G173" s="18"/>
      <c r="H173" s="18"/>
      <c r="I173" s="24"/>
      <c r="J173" s="123"/>
      <c r="K173" s="128"/>
      <c r="L173" s="77"/>
    </row>
    <row r="174" spans="2:12">
      <c r="B174" s="18"/>
      <c r="C174" s="18"/>
      <c r="D174" s="18"/>
      <c r="E174" s="18"/>
      <c r="F174" s="18"/>
      <c r="G174" s="18"/>
      <c r="H174" s="18"/>
      <c r="I174" s="24"/>
      <c r="J174" s="123"/>
      <c r="K174" s="128"/>
      <c r="L174" s="77"/>
    </row>
    <row r="175" spans="2:12">
      <c r="B175" s="18"/>
      <c r="C175" s="18"/>
      <c r="D175" s="18"/>
      <c r="E175" s="18"/>
      <c r="F175" s="18"/>
      <c r="G175" s="18"/>
      <c r="H175" s="18"/>
      <c r="I175" s="24"/>
      <c r="J175" s="123"/>
      <c r="K175" s="77"/>
      <c r="L175" s="77"/>
    </row>
    <row r="176" spans="2:12">
      <c r="B176" s="18"/>
      <c r="C176" s="18"/>
      <c r="D176" s="18"/>
      <c r="E176" s="18"/>
      <c r="F176" s="18"/>
      <c r="G176" s="18"/>
      <c r="H176" s="18"/>
      <c r="I176" s="24"/>
      <c r="J176" s="123"/>
      <c r="K176" s="128"/>
      <c r="L176" s="77"/>
    </row>
    <row r="177" spans="2:12">
      <c r="B177" s="18"/>
      <c r="C177" s="18"/>
      <c r="D177" s="18"/>
      <c r="E177" s="18"/>
      <c r="F177" s="18"/>
      <c r="G177" s="18"/>
      <c r="H177" s="18"/>
      <c r="I177" s="24"/>
      <c r="J177" s="123"/>
      <c r="K177" s="77"/>
      <c r="L177" s="77"/>
    </row>
    <row r="178" spans="2:12">
      <c r="B178" s="18"/>
      <c r="C178" s="18"/>
      <c r="D178" s="18"/>
      <c r="E178" s="18"/>
      <c r="F178" s="18"/>
      <c r="G178" s="18"/>
      <c r="H178" s="18"/>
      <c r="I178" s="24"/>
      <c r="J178" s="123"/>
      <c r="K178" s="128"/>
      <c r="L178" s="77"/>
    </row>
    <row r="179" spans="2:12">
      <c r="B179" s="18"/>
      <c r="C179" s="18"/>
      <c r="D179" s="18"/>
      <c r="E179" s="18"/>
      <c r="F179" s="18"/>
      <c r="G179" s="18"/>
      <c r="H179" s="18"/>
      <c r="I179" s="24"/>
      <c r="J179" s="123"/>
      <c r="K179" s="77"/>
      <c r="L179" s="77"/>
    </row>
    <row r="180" spans="2:12">
      <c r="B180" s="18"/>
      <c r="C180" s="18"/>
      <c r="D180" s="18"/>
      <c r="E180" s="18"/>
      <c r="F180" s="18"/>
      <c r="G180" s="18"/>
      <c r="H180" s="18"/>
      <c r="I180" s="24"/>
      <c r="J180" s="123"/>
      <c r="K180" s="128"/>
      <c r="L180" s="77"/>
    </row>
    <row r="181" spans="2:12">
      <c r="B181" s="18"/>
      <c r="C181" s="18"/>
      <c r="D181" s="18"/>
      <c r="E181" s="18"/>
      <c r="F181" s="18"/>
      <c r="G181" s="18"/>
      <c r="H181" s="18"/>
      <c r="I181" s="24"/>
      <c r="J181" s="123"/>
      <c r="K181" s="128"/>
      <c r="L181" s="77"/>
    </row>
    <row r="182" spans="2:12">
      <c r="B182" s="18"/>
      <c r="C182" s="18"/>
      <c r="D182" s="18"/>
      <c r="E182" s="18"/>
      <c r="F182" s="18"/>
      <c r="G182" s="18"/>
      <c r="H182" s="18"/>
      <c r="I182" s="24"/>
      <c r="J182" s="123"/>
      <c r="K182" s="77"/>
      <c r="L182" s="77"/>
    </row>
    <row r="183" spans="2:12">
      <c r="B183" s="18"/>
      <c r="C183" s="18"/>
      <c r="D183" s="18"/>
      <c r="E183" s="18"/>
      <c r="F183" s="18"/>
      <c r="G183" s="18"/>
      <c r="H183" s="18"/>
      <c r="I183" s="24"/>
      <c r="J183" s="123"/>
      <c r="K183" s="77"/>
      <c r="L183" s="77"/>
    </row>
    <row r="184" spans="2:12">
      <c r="B184" s="18"/>
      <c r="C184" s="18"/>
      <c r="D184" s="18"/>
      <c r="E184" s="18"/>
      <c r="F184" s="18"/>
      <c r="G184" s="18"/>
      <c r="H184" s="18"/>
      <c r="I184" s="24"/>
      <c r="J184" s="123"/>
      <c r="K184" s="128"/>
      <c r="L184" s="77"/>
    </row>
    <row r="185" spans="2:12">
      <c r="B185" s="18"/>
      <c r="C185" s="18"/>
      <c r="D185" s="18"/>
      <c r="E185" s="18"/>
      <c r="F185" s="18"/>
      <c r="G185" s="18"/>
      <c r="H185" s="18"/>
      <c r="I185" s="24"/>
      <c r="J185" s="123"/>
      <c r="K185" s="77"/>
      <c r="L185" s="77"/>
    </row>
    <row r="186" spans="2:12">
      <c r="B186" s="18"/>
      <c r="C186" s="18"/>
      <c r="D186" s="18"/>
      <c r="E186" s="18"/>
      <c r="F186" s="18"/>
      <c r="G186" s="18"/>
      <c r="H186" s="18"/>
      <c r="I186" s="24"/>
      <c r="J186" s="123"/>
      <c r="K186" s="77"/>
      <c r="L186" s="77"/>
    </row>
    <row r="187" spans="2:12">
      <c r="B187" s="18"/>
      <c r="C187" s="18"/>
      <c r="D187" s="18"/>
      <c r="E187" s="18"/>
      <c r="F187" s="18"/>
      <c r="G187" s="18"/>
      <c r="H187" s="18"/>
      <c r="I187" s="24"/>
      <c r="J187" s="123"/>
      <c r="K187" s="128"/>
      <c r="L187" s="77"/>
    </row>
    <row r="188" spans="2:12">
      <c r="B188" s="18"/>
      <c r="C188" s="18"/>
      <c r="D188" s="18"/>
      <c r="E188" s="18"/>
      <c r="F188" s="18"/>
      <c r="G188" s="18"/>
      <c r="H188" s="18"/>
      <c r="I188" s="24"/>
      <c r="J188" s="123"/>
      <c r="K188" s="77"/>
      <c r="L188" s="77"/>
    </row>
    <row r="189" spans="2:12">
      <c r="B189" s="18"/>
      <c r="C189" s="18"/>
      <c r="D189" s="18"/>
      <c r="E189" s="18"/>
      <c r="F189" s="18"/>
      <c r="G189" s="18"/>
      <c r="H189" s="18"/>
      <c r="I189" s="24"/>
      <c r="J189" s="123"/>
      <c r="K189" s="77"/>
      <c r="L189" s="77"/>
    </row>
    <row r="190" spans="2:12">
      <c r="B190" s="18"/>
      <c r="C190" s="18"/>
      <c r="D190" s="18"/>
      <c r="E190" s="18"/>
      <c r="F190" s="18"/>
      <c r="G190" s="18"/>
      <c r="H190" s="18"/>
      <c r="I190" s="24"/>
      <c r="J190" s="123"/>
      <c r="K190" s="128"/>
      <c r="L190" s="77"/>
    </row>
    <row r="191" spans="2:12">
      <c r="B191" s="18"/>
      <c r="C191" s="18"/>
      <c r="D191" s="18"/>
      <c r="E191" s="18"/>
      <c r="F191" s="18"/>
      <c r="G191" s="18"/>
      <c r="H191" s="18"/>
      <c r="I191" s="24"/>
      <c r="J191" s="123"/>
      <c r="K191" s="128"/>
      <c r="L191" s="77"/>
    </row>
    <row r="192" spans="2:12">
      <c r="B192" s="18"/>
      <c r="C192" s="18"/>
      <c r="D192" s="18"/>
      <c r="E192" s="18"/>
      <c r="F192" s="18"/>
      <c r="G192" s="18"/>
      <c r="H192" s="18"/>
      <c r="I192" s="24"/>
      <c r="J192" s="123"/>
      <c r="K192" s="128"/>
      <c r="L192" s="77"/>
    </row>
    <row r="193" spans="2:12">
      <c r="B193" s="18"/>
      <c r="C193" s="18"/>
      <c r="D193" s="18"/>
      <c r="E193" s="18"/>
      <c r="F193" s="18"/>
      <c r="G193" s="18"/>
      <c r="H193" s="18"/>
      <c r="I193" s="24"/>
      <c r="J193" s="123"/>
      <c r="K193" s="128"/>
      <c r="L193" s="77"/>
    </row>
    <row r="194" spans="2:12">
      <c r="B194" s="18"/>
      <c r="C194" s="18"/>
      <c r="D194" s="18"/>
      <c r="E194" s="18"/>
      <c r="F194" s="18"/>
      <c r="G194" s="18"/>
      <c r="H194" s="18"/>
      <c r="I194" s="24"/>
      <c r="J194" s="123"/>
      <c r="K194" s="128"/>
      <c r="L194" s="77"/>
    </row>
    <row r="195" spans="2:12">
      <c r="B195" s="18"/>
      <c r="C195" s="18"/>
      <c r="D195" s="18"/>
      <c r="E195" s="18"/>
      <c r="F195" s="18"/>
      <c r="G195" s="18"/>
      <c r="H195" s="18"/>
      <c r="I195" s="24"/>
      <c r="J195" s="123"/>
      <c r="K195" s="128"/>
      <c r="L195" s="77"/>
    </row>
    <row r="196" spans="2:12">
      <c r="B196" s="18"/>
      <c r="C196" s="18"/>
      <c r="D196" s="18"/>
      <c r="E196" s="18"/>
      <c r="F196" s="18"/>
      <c r="G196" s="18"/>
      <c r="H196" s="18"/>
      <c r="I196" s="24"/>
      <c r="J196" s="123"/>
      <c r="K196" s="128"/>
      <c r="L196" s="77"/>
    </row>
    <row r="197" spans="2:12">
      <c r="B197" s="18"/>
      <c r="C197" s="18"/>
      <c r="D197" s="18"/>
      <c r="E197" s="18"/>
      <c r="F197" s="18"/>
      <c r="G197" s="18"/>
      <c r="H197" s="18"/>
      <c r="I197" s="24"/>
      <c r="J197" s="123"/>
      <c r="K197" s="128"/>
      <c r="L197" s="77"/>
    </row>
    <row r="198" spans="2:12">
      <c r="B198" s="18"/>
      <c r="C198" s="18"/>
      <c r="D198" s="18"/>
      <c r="E198" s="18"/>
      <c r="F198" s="18"/>
      <c r="G198" s="18"/>
      <c r="H198" s="18"/>
      <c r="I198" s="24"/>
      <c r="J198" s="123"/>
      <c r="K198" s="128"/>
      <c r="L198" s="77"/>
    </row>
    <row r="199" spans="2:12">
      <c r="B199" s="18"/>
      <c r="C199" s="18"/>
      <c r="D199" s="18"/>
      <c r="E199" s="18"/>
      <c r="F199" s="18"/>
      <c r="G199" s="18"/>
      <c r="H199" s="18"/>
      <c r="I199" s="24"/>
      <c r="J199" s="123"/>
      <c r="K199" s="128"/>
      <c r="L199" s="77"/>
    </row>
    <row r="200" spans="2:12">
      <c r="B200" s="18"/>
      <c r="C200" s="18"/>
      <c r="D200" s="18"/>
      <c r="E200" s="18"/>
      <c r="F200" s="18"/>
      <c r="G200" s="18"/>
      <c r="H200" s="18"/>
      <c r="I200" s="24"/>
      <c r="J200" s="123"/>
      <c r="K200" s="128"/>
      <c r="L200" s="77"/>
    </row>
    <row r="201" spans="2:12">
      <c r="B201" s="18"/>
      <c r="C201" s="18"/>
      <c r="D201" s="18"/>
      <c r="E201" s="18"/>
      <c r="F201" s="18"/>
      <c r="G201" s="18"/>
      <c r="H201" s="18"/>
      <c r="I201" s="24"/>
      <c r="J201" s="123"/>
      <c r="K201" s="128"/>
      <c r="L201" s="77"/>
    </row>
    <row r="202" spans="2:12">
      <c r="B202" s="18"/>
      <c r="C202" s="18"/>
      <c r="D202" s="18"/>
      <c r="E202" s="18"/>
      <c r="F202" s="18"/>
      <c r="G202" s="18"/>
      <c r="H202" s="18"/>
      <c r="I202" s="24"/>
      <c r="J202" s="123"/>
      <c r="K202" s="128"/>
      <c r="L202" s="77"/>
    </row>
    <row r="203" spans="2:12">
      <c r="B203" s="18"/>
      <c r="C203" s="18"/>
      <c r="D203" s="18"/>
      <c r="E203" s="18"/>
      <c r="F203" s="18"/>
      <c r="G203" s="18"/>
      <c r="H203" s="18"/>
      <c r="I203" s="24"/>
      <c r="J203" s="123"/>
      <c r="K203" s="128"/>
      <c r="L203" s="77"/>
    </row>
    <row r="204" spans="2:12">
      <c r="B204" s="18"/>
      <c r="C204" s="18"/>
      <c r="D204" s="18"/>
      <c r="E204" s="18"/>
      <c r="F204" s="18"/>
      <c r="G204" s="18"/>
      <c r="H204" s="18"/>
      <c r="I204" s="24"/>
      <c r="J204" s="123"/>
      <c r="K204" s="128"/>
      <c r="L204" s="77"/>
    </row>
    <row r="205" spans="2:12">
      <c r="B205" s="18"/>
      <c r="C205" s="18"/>
      <c r="D205" s="18"/>
      <c r="E205" s="18"/>
      <c r="F205" s="18"/>
      <c r="G205" s="18"/>
      <c r="H205" s="18"/>
      <c r="I205" s="24"/>
      <c r="J205" s="123"/>
      <c r="K205" s="128"/>
      <c r="L205" s="77"/>
    </row>
    <row r="206" spans="2:12">
      <c r="B206" s="18"/>
      <c r="C206" s="18"/>
      <c r="D206" s="18"/>
      <c r="E206" s="18"/>
      <c r="F206" s="18"/>
      <c r="G206" s="18"/>
      <c r="H206" s="18"/>
      <c r="I206" s="24"/>
      <c r="J206" s="123"/>
      <c r="K206" s="128"/>
      <c r="L206" s="77"/>
    </row>
    <row r="207" spans="2:12">
      <c r="B207" s="18"/>
      <c r="C207" s="18"/>
      <c r="D207" s="18"/>
      <c r="E207" s="18"/>
      <c r="F207" s="18"/>
      <c r="G207" s="18"/>
      <c r="H207" s="18"/>
      <c r="I207" s="24"/>
      <c r="J207" s="123"/>
      <c r="K207" s="77"/>
      <c r="L207" s="77"/>
    </row>
    <row r="208" spans="2:12">
      <c r="B208" s="18"/>
      <c r="C208" s="18"/>
      <c r="D208" s="18"/>
      <c r="E208" s="18"/>
      <c r="F208" s="18"/>
      <c r="G208" s="18"/>
      <c r="H208" s="18"/>
      <c r="I208" s="24"/>
      <c r="J208" s="123"/>
      <c r="K208" s="128"/>
      <c r="L208" s="77"/>
    </row>
  </sheetData>
  <mergeCells count="57">
    <mergeCell ref="A5:J5"/>
    <mergeCell ref="A4:J4"/>
    <mergeCell ref="E41:E48"/>
    <mergeCell ref="G41:H41"/>
    <mergeCell ref="I41:I48"/>
    <mergeCell ref="J41:J47"/>
    <mergeCell ref="G42:H42"/>
    <mergeCell ref="G43:H43"/>
    <mergeCell ref="G44:H44"/>
    <mergeCell ref="G45:H45"/>
    <mergeCell ref="G46:H46"/>
    <mergeCell ref="G47:H47"/>
    <mergeCell ref="G32:H32"/>
    <mergeCell ref="G33:H33"/>
    <mergeCell ref="J33:J40"/>
    <mergeCell ref="G34:H34"/>
    <mergeCell ref="G35:H35"/>
    <mergeCell ref="G36:H36"/>
    <mergeCell ref="G37:H37"/>
    <mergeCell ref="G38:H38"/>
    <mergeCell ref="G39:H39"/>
    <mergeCell ref="G40:H40"/>
    <mergeCell ref="G20:H20"/>
    <mergeCell ref="I20:I40"/>
    <mergeCell ref="G21:H21"/>
    <mergeCell ref="J21:J25"/>
    <mergeCell ref="G22:H22"/>
    <mergeCell ref="G23:H23"/>
    <mergeCell ref="G24:H24"/>
    <mergeCell ref="G25:H25"/>
    <mergeCell ref="G26:H26"/>
    <mergeCell ref="J26:J27"/>
    <mergeCell ref="G27:H27"/>
    <mergeCell ref="G28:H28"/>
    <mergeCell ref="J28:J32"/>
    <mergeCell ref="G29:H29"/>
    <mergeCell ref="G30:H30"/>
    <mergeCell ref="G31:H31"/>
    <mergeCell ref="G14:H14"/>
    <mergeCell ref="G15:H15"/>
    <mergeCell ref="I15:I19"/>
    <mergeCell ref="J15:J19"/>
    <mergeCell ref="G16:H16"/>
    <mergeCell ref="G17:H17"/>
    <mergeCell ref="G18:H18"/>
    <mergeCell ref="G19:H19"/>
    <mergeCell ref="G6:H6"/>
    <mergeCell ref="E7:E20"/>
    <mergeCell ref="G7:H7"/>
    <mergeCell ref="I7:I14"/>
    <mergeCell ref="J7:J14"/>
    <mergeCell ref="G8:H8"/>
    <mergeCell ref="G9:H9"/>
    <mergeCell ref="G10:H10"/>
    <mergeCell ref="G11:H11"/>
    <mergeCell ref="G12:H12"/>
    <mergeCell ref="G13:H13"/>
  </mergeCells>
  <phoneticPr fontId="23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4"/>
  <sheetViews>
    <sheetView showGridLines="0" workbookViewId="0">
      <selection activeCell="U7" sqref="U7"/>
    </sheetView>
  </sheetViews>
  <sheetFormatPr defaultColWidth="9.140625" defaultRowHeight="15"/>
  <cols>
    <col min="1" max="1" width="4.28515625" style="22" customWidth="1"/>
    <col min="2" max="3" width="9.140625" style="22"/>
    <col min="4" max="4" width="12.85546875" style="22" bestFit="1" customWidth="1"/>
    <col min="5" max="5" width="31.42578125" style="22" bestFit="1" customWidth="1"/>
    <col min="6" max="9" width="9.140625" style="22" customWidth="1"/>
    <col min="10" max="10" width="12.28515625" style="22" customWidth="1"/>
    <col min="11" max="11" width="9.140625" style="22" customWidth="1"/>
    <col min="12" max="12" width="12.140625" style="22" customWidth="1"/>
    <col min="13" max="13" width="9.140625" style="22" customWidth="1"/>
    <col min="14" max="14" width="11.7109375" style="22" customWidth="1"/>
    <col min="15" max="15" width="9.140625" style="22" customWidth="1"/>
    <col min="16" max="16384" width="9.140625" style="22"/>
  </cols>
  <sheetData>
    <row r="1" spans="2:15">
      <c r="B1" s="61" t="s">
        <v>940</v>
      </c>
    </row>
    <row r="2" spans="2:15">
      <c r="B2" s="61" t="s">
        <v>1042</v>
      </c>
    </row>
    <row r="3" spans="2:15">
      <c r="B3" s="61" t="s">
        <v>1043</v>
      </c>
    </row>
    <row r="4" spans="2:15">
      <c r="B4" s="61"/>
    </row>
    <row r="5" spans="2:15">
      <c r="B5" s="230" t="s">
        <v>1352</v>
      </c>
      <c r="C5" s="230"/>
      <c r="D5" s="230"/>
      <c r="E5" s="230"/>
      <c r="F5" s="230"/>
      <c r="G5" s="230"/>
      <c r="H5" s="230"/>
      <c r="I5" s="230"/>
      <c r="J5" s="230"/>
      <c r="K5" s="230"/>
      <c r="L5" s="230"/>
      <c r="M5" s="230"/>
      <c r="N5" s="230"/>
      <c r="O5" s="230"/>
    </row>
    <row r="6" spans="2:15" ht="65.25" customHeight="1">
      <c r="B6" s="231" t="s">
        <v>311</v>
      </c>
      <c r="C6" s="232"/>
      <c r="D6" s="232"/>
      <c r="E6" s="232"/>
      <c r="F6" s="232"/>
      <c r="G6" s="232"/>
      <c r="H6" s="232"/>
      <c r="I6" s="232"/>
      <c r="J6" s="232"/>
      <c r="K6" s="232"/>
      <c r="L6" s="232"/>
      <c r="M6" s="232"/>
      <c r="N6" s="232"/>
      <c r="O6" s="232"/>
    </row>
    <row r="7" spans="2:15" ht="89.25">
      <c r="B7" s="30" t="s">
        <v>139</v>
      </c>
      <c r="C7" s="82" t="s">
        <v>0</v>
      </c>
      <c r="D7" s="82" t="s">
        <v>334</v>
      </c>
      <c r="E7" s="82" t="s">
        <v>4</v>
      </c>
      <c r="F7" s="30" t="s">
        <v>5</v>
      </c>
      <c r="G7" s="31" t="s">
        <v>671</v>
      </c>
      <c r="H7" s="31" t="s">
        <v>290</v>
      </c>
      <c r="I7" s="31" t="s">
        <v>672</v>
      </c>
      <c r="J7" s="47" t="s">
        <v>557</v>
      </c>
      <c r="K7" s="17" t="s">
        <v>520</v>
      </c>
      <c r="L7" s="17" t="s">
        <v>518</v>
      </c>
      <c r="M7" s="17" t="s">
        <v>519</v>
      </c>
      <c r="N7" s="17" t="s">
        <v>1040</v>
      </c>
      <c r="O7" s="30" t="s">
        <v>605</v>
      </c>
    </row>
    <row r="8" spans="2:15" ht="62.25" customHeight="1">
      <c r="B8" s="79">
        <v>1</v>
      </c>
      <c r="C8" s="80" t="s">
        <v>143</v>
      </c>
      <c r="D8" s="81" t="s">
        <v>1017</v>
      </c>
      <c r="E8" s="80" t="s">
        <v>488</v>
      </c>
      <c r="F8" s="42" t="s">
        <v>1</v>
      </c>
      <c r="G8" s="32" t="s">
        <v>292</v>
      </c>
      <c r="H8" s="32" t="s">
        <v>291</v>
      </c>
      <c r="I8" s="32" t="s">
        <v>301</v>
      </c>
      <c r="J8" s="32" t="s">
        <v>1039</v>
      </c>
      <c r="K8" s="34">
        <v>0.74480000000000002</v>
      </c>
      <c r="L8" s="34">
        <v>0.69020000000000004</v>
      </c>
      <c r="M8" s="34">
        <v>0.59940000000000004</v>
      </c>
      <c r="N8" s="34">
        <v>0.29039999999999999</v>
      </c>
      <c r="O8" s="24" t="s">
        <v>1041</v>
      </c>
    </row>
    <row r="9" spans="2:15" ht="67.5">
      <c r="B9" s="79">
        <v>2</v>
      </c>
      <c r="C9" s="80" t="s">
        <v>144</v>
      </c>
      <c r="D9" s="80" t="s">
        <v>487</v>
      </c>
      <c r="E9" s="80" t="s">
        <v>489</v>
      </c>
      <c r="F9" s="42" t="s">
        <v>1</v>
      </c>
      <c r="G9" s="32" t="s">
        <v>293</v>
      </c>
      <c r="H9" s="32" t="s">
        <v>291</v>
      </c>
      <c r="I9" s="32" t="s">
        <v>301</v>
      </c>
      <c r="J9" s="32" t="s">
        <v>1039</v>
      </c>
      <c r="K9" s="34">
        <v>0.74480000000000002</v>
      </c>
      <c r="L9" s="34">
        <v>0.69020000000000004</v>
      </c>
      <c r="M9" s="34">
        <v>0.59940000000000004</v>
      </c>
      <c r="N9" s="34">
        <v>0.29039999999999999</v>
      </c>
      <c r="O9" s="24" t="s">
        <v>1041</v>
      </c>
    </row>
    <row r="10" spans="2:15" ht="67.5">
      <c r="B10" s="79">
        <v>3</v>
      </c>
      <c r="C10" s="80" t="s">
        <v>145</v>
      </c>
      <c r="D10" s="80" t="s">
        <v>487</v>
      </c>
      <c r="E10" s="80" t="s">
        <v>490</v>
      </c>
      <c r="F10" s="42" t="s">
        <v>1</v>
      </c>
      <c r="G10" s="32" t="s">
        <v>294</v>
      </c>
      <c r="H10" s="32" t="s">
        <v>291</v>
      </c>
      <c r="I10" s="32" t="s">
        <v>301</v>
      </c>
      <c r="J10" s="32" t="s">
        <v>1039</v>
      </c>
      <c r="K10" s="34">
        <v>0.74480000000000002</v>
      </c>
      <c r="L10" s="34">
        <v>0.69020000000000004</v>
      </c>
      <c r="M10" s="34">
        <v>0.59940000000000004</v>
      </c>
      <c r="N10" s="34">
        <v>0.29039999999999999</v>
      </c>
      <c r="O10" s="24" t="s">
        <v>1041</v>
      </c>
    </row>
    <row r="11" spans="2:15" ht="67.5">
      <c r="B11" s="79">
        <v>4</v>
      </c>
      <c r="C11" s="80" t="s">
        <v>146</v>
      </c>
      <c r="D11" s="80" t="s">
        <v>491</v>
      </c>
      <c r="E11" s="80" t="s">
        <v>492</v>
      </c>
      <c r="F11" s="42" t="s">
        <v>1</v>
      </c>
      <c r="G11" s="32" t="s">
        <v>295</v>
      </c>
      <c r="H11" s="32" t="s">
        <v>291</v>
      </c>
      <c r="I11" s="32" t="s">
        <v>301</v>
      </c>
      <c r="J11" s="32" t="s">
        <v>1039</v>
      </c>
      <c r="K11" s="34">
        <v>0.74480000000000002</v>
      </c>
      <c r="L11" s="34">
        <v>0.69020000000000004</v>
      </c>
      <c r="M11" s="34">
        <v>0.59940000000000004</v>
      </c>
      <c r="N11" s="34">
        <v>0.29039999999999999</v>
      </c>
      <c r="O11" s="24" t="s">
        <v>1041</v>
      </c>
    </row>
    <row r="12" spans="2:15" ht="67.5">
      <c r="B12" s="79">
        <v>5</v>
      </c>
      <c r="C12" s="80" t="s">
        <v>147</v>
      </c>
      <c r="D12" s="81" t="s">
        <v>1018</v>
      </c>
      <c r="E12" s="80" t="s">
        <v>494</v>
      </c>
      <c r="F12" s="42" t="s">
        <v>1</v>
      </c>
      <c r="G12" s="32" t="s">
        <v>296</v>
      </c>
      <c r="H12" s="32" t="s">
        <v>291</v>
      </c>
      <c r="I12" s="32" t="s">
        <v>301</v>
      </c>
      <c r="J12" s="32" t="s">
        <v>1039</v>
      </c>
      <c r="K12" s="34">
        <v>0.74480000000000002</v>
      </c>
      <c r="L12" s="34">
        <v>0.69020000000000004</v>
      </c>
      <c r="M12" s="34">
        <v>0.59940000000000004</v>
      </c>
      <c r="N12" s="34">
        <v>0.29039999999999999</v>
      </c>
      <c r="O12" s="24" t="s">
        <v>1041</v>
      </c>
    </row>
    <row r="13" spans="2:15" ht="24.75" customHeight="1">
      <c r="B13" s="79">
        <v>6</v>
      </c>
      <c r="C13" s="80" t="s">
        <v>148</v>
      </c>
      <c r="D13" s="80" t="s">
        <v>495</v>
      </c>
      <c r="E13" s="80" t="s">
        <v>496</v>
      </c>
      <c r="F13" s="42" t="s">
        <v>1</v>
      </c>
      <c r="G13" s="32" t="s">
        <v>297</v>
      </c>
      <c r="H13" s="32" t="s">
        <v>291</v>
      </c>
      <c r="I13" s="32" t="s">
        <v>301</v>
      </c>
      <c r="J13" s="32" t="s">
        <v>1039</v>
      </c>
      <c r="K13" s="34">
        <v>0.74480000000000002</v>
      </c>
      <c r="L13" s="34">
        <v>0.69020000000000004</v>
      </c>
      <c r="M13" s="34">
        <v>0.59940000000000004</v>
      </c>
      <c r="N13" s="34">
        <v>0.29039999999999999</v>
      </c>
      <c r="O13" s="24" t="s">
        <v>1041</v>
      </c>
    </row>
    <row r="14" spans="2:15" ht="67.5">
      <c r="B14" s="79">
        <v>7</v>
      </c>
      <c r="C14" s="80" t="s">
        <v>149</v>
      </c>
      <c r="D14" s="81" t="s">
        <v>1019</v>
      </c>
      <c r="E14" s="80" t="s">
        <v>497</v>
      </c>
      <c r="F14" s="42" t="s">
        <v>1</v>
      </c>
      <c r="G14" s="32" t="s">
        <v>298</v>
      </c>
      <c r="H14" s="32" t="s">
        <v>291</v>
      </c>
      <c r="I14" s="32" t="s">
        <v>301</v>
      </c>
      <c r="J14" s="32" t="s">
        <v>1039</v>
      </c>
      <c r="K14" s="34">
        <v>0.74480000000000002</v>
      </c>
      <c r="L14" s="34">
        <v>0.69020000000000004</v>
      </c>
      <c r="M14" s="34">
        <v>0.59940000000000004</v>
      </c>
      <c r="N14" s="34">
        <v>0.29039999999999999</v>
      </c>
      <c r="O14" s="24" t="s">
        <v>1041</v>
      </c>
    </row>
    <row r="15" spans="2:15" ht="67.5">
      <c r="B15" s="79">
        <v>8</v>
      </c>
      <c r="C15" s="80" t="s">
        <v>150</v>
      </c>
      <c r="D15" s="80" t="s">
        <v>498</v>
      </c>
      <c r="E15" s="80" t="s">
        <v>499</v>
      </c>
      <c r="F15" s="42" t="s">
        <v>1</v>
      </c>
      <c r="G15" s="32" t="s">
        <v>299</v>
      </c>
      <c r="H15" s="32" t="s">
        <v>291</v>
      </c>
      <c r="I15" s="32" t="s">
        <v>301</v>
      </c>
      <c r="J15" s="32" t="s">
        <v>1039</v>
      </c>
      <c r="K15" s="34">
        <v>0.74480000000000002</v>
      </c>
      <c r="L15" s="34">
        <v>0.69020000000000004</v>
      </c>
      <c r="M15" s="34">
        <v>0.59940000000000004</v>
      </c>
      <c r="N15" s="34">
        <v>0.29039999999999999</v>
      </c>
      <c r="O15" s="24" t="s">
        <v>1041</v>
      </c>
    </row>
    <row r="16" spans="2:15" ht="67.5">
      <c r="B16" s="79">
        <v>9</v>
      </c>
      <c r="C16" s="80" t="s">
        <v>151</v>
      </c>
      <c r="D16" s="81" t="s">
        <v>1018</v>
      </c>
      <c r="E16" s="80" t="s">
        <v>500</v>
      </c>
      <c r="F16" s="42" t="s">
        <v>1</v>
      </c>
      <c r="G16" s="32" t="s">
        <v>300</v>
      </c>
      <c r="H16" s="32" t="s">
        <v>291</v>
      </c>
      <c r="I16" s="32" t="s">
        <v>301</v>
      </c>
      <c r="J16" s="32" t="s">
        <v>1039</v>
      </c>
      <c r="K16" s="34">
        <v>0.74480000000000002</v>
      </c>
      <c r="L16" s="34">
        <v>0.69020000000000004</v>
      </c>
      <c r="M16" s="34">
        <v>0.59940000000000004</v>
      </c>
      <c r="N16" s="34">
        <v>0.29039999999999999</v>
      </c>
      <c r="O16" s="24" t="s">
        <v>1041</v>
      </c>
    </row>
    <row r="17" spans="1:15" ht="67.5">
      <c r="B17" s="79">
        <v>10</v>
      </c>
      <c r="C17" s="80" t="s">
        <v>152</v>
      </c>
      <c r="D17" s="80" t="s">
        <v>501</v>
      </c>
      <c r="E17" s="80" t="s">
        <v>502</v>
      </c>
      <c r="F17" s="42" t="s">
        <v>1</v>
      </c>
      <c r="G17" s="32" t="s">
        <v>1023</v>
      </c>
      <c r="H17" s="32" t="s">
        <v>291</v>
      </c>
      <c r="I17" s="32" t="s">
        <v>301</v>
      </c>
      <c r="J17" s="32" t="s">
        <v>1039</v>
      </c>
      <c r="K17" s="34">
        <v>0.74480000000000002</v>
      </c>
      <c r="L17" s="34">
        <v>0.69020000000000004</v>
      </c>
      <c r="M17" s="34">
        <v>0.59940000000000004</v>
      </c>
      <c r="N17" s="34">
        <v>0.29039999999999999</v>
      </c>
      <c r="O17" s="24" t="s">
        <v>1041</v>
      </c>
    </row>
    <row r="18" spans="1:15" ht="24" customHeight="1">
      <c r="B18" s="79">
        <v>11</v>
      </c>
      <c r="C18" s="80" t="s">
        <v>153</v>
      </c>
      <c r="D18" s="80" t="s">
        <v>495</v>
      </c>
      <c r="E18" s="80" t="s">
        <v>503</v>
      </c>
      <c r="F18" s="42" t="s">
        <v>1</v>
      </c>
      <c r="G18" s="32" t="s">
        <v>1024</v>
      </c>
      <c r="H18" s="32" t="s">
        <v>291</v>
      </c>
      <c r="I18" s="32" t="s">
        <v>301</v>
      </c>
      <c r="J18" s="32" t="s">
        <v>1039</v>
      </c>
      <c r="K18" s="34">
        <v>0.74480000000000002</v>
      </c>
      <c r="L18" s="34">
        <v>0.69020000000000004</v>
      </c>
      <c r="M18" s="34">
        <v>0.59940000000000004</v>
      </c>
      <c r="N18" s="34">
        <v>0.29039999999999999</v>
      </c>
      <c r="O18" s="24" t="s">
        <v>1041</v>
      </c>
    </row>
    <row r="19" spans="1:15" ht="24.75" customHeight="1">
      <c r="B19" s="79">
        <v>12</v>
      </c>
      <c r="C19" s="80" t="s">
        <v>154</v>
      </c>
      <c r="D19" s="80" t="s">
        <v>491</v>
      </c>
      <c r="E19" s="80" t="s">
        <v>504</v>
      </c>
      <c r="F19" s="42" t="s">
        <v>1</v>
      </c>
      <c r="G19" s="32" t="s">
        <v>1025</v>
      </c>
      <c r="H19" s="32" t="s">
        <v>291</v>
      </c>
      <c r="I19" s="32" t="s">
        <v>301</v>
      </c>
      <c r="J19" s="32" t="s">
        <v>1039</v>
      </c>
      <c r="K19" s="34">
        <v>0.74480000000000002</v>
      </c>
      <c r="L19" s="34">
        <v>0.69020000000000004</v>
      </c>
      <c r="M19" s="34">
        <v>0.59940000000000004</v>
      </c>
      <c r="N19" s="34">
        <v>0.29039999999999999</v>
      </c>
      <c r="O19" s="24" t="s">
        <v>1041</v>
      </c>
    </row>
    <row r="20" spans="1:15" ht="67.5">
      <c r="B20" s="79">
        <v>13</v>
      </c>
      <c r="C20" s="80" t="s">
        <v>155</v>
      </c>
      <c r="D20" s="80" t="s">
        <v>493</v>
      </c>
      <c r="E20" s="80" t="s">
        <v>505</v>
      </c>
      <c r="F20" s="42" t="s">
        <v>1</v>
      </c>
      <c r="G20" s="32" t="s">
        <v>1026</v>
      </c>
      <c r="H20" s="32" t="s">
        <v>291</v>
      </c>
      <c r="I20" s="32" t="s">
        <v>301</v>
      </c>
      <c r="J20" s="32" t="s">
        <v>1039</v>
      </c>
      <c r="K20" s="34">
        <v>0.74480000000000002</v>
      </c>
      <c r="L20" s="34">
        <v>0.69020000000000004</v>
      </c>
      <c r="M20" s="34">
        <v>0.59940000000000004</v>
      </c>
      <c r="N20" s="34">
        <v>0.29039999999999999</v>
      </c>
      <c r="O20" s="24" t="s">
        <v>1041</v>
      </c>
    </row>
    <row r="21" spans="1:15" ht="67.5">
      <c r="B21" s="79">
        <v>14</v>
      </c>
      <c r="C21" s="80" t="s">
        <v>156</v>
      </c>
      <c r="D21" s="80" t="s">
        <v>487</v>
      </c>
      <c r="E21" s="80" t="s">
        <v>506</v>
      </c>
      <c r="F21" s="42" t="s">
        <v>1</v>
      </c>
      <c r="G21" s="32" t="s">
        <v>1027</v>
      </c>
      <c r="H21" s="32" t="s">
        <v>291</v>
      </c>
      <c r="I21" s="32" t="s">
        <v>301</v>
      </c>
      <c r="J21" s="32" t="s">
        <v>1039</v>
      </c>
      <c r="K21" s="34">
        <v>0.74480000000000002</v>
      </c>
      <c r="L21" s="34">
        <v>0.69020000000000004</v>
      </c>
      <c r="M21" s="34">
        <v>0.59940000000000004</v>
      </c>
      <c r="N21" s="34">
        <v>0.29039999999999999</v>
      </c>
      <c r="O21" s="24" t="s">
        <v>1041</v>
      </c>
    </row>
    <row r="22" spans="1:15" ht="67.5">
      <c r="B22" s="79">
        <v>15</v>
      </c>
      <c r="C22" s="80" t="s">
        <v>157</v>
      </c>
      <c r="D22" s="80" t="s">
        <v>487</v>
      </c>
      <c r="E22" s="80" t="s">
        <v>507</v>
      </c>
      <c r="F22" s="42" t="s">
        <v>1</v>
      </c>
      <c r="G22" s="32" t="s">
        <v>1028</v>
      </c>
      <c r="H22" s="32" t="s">
        <v>291</v>
      </c>
      <c r="I22" s="32" t="s">
        <v>301</v>
      </c>
      <c r="J22" s="32" t="s">
        <v>1039</v>
      </c>
      <c r="K22" s="34">
        <v>0.74480000000000002</v>
      </c>
      <c r="L22" s="34">
        <v>0.69020000000000004</v>
      </c>
      <c r="M22" s="34">
        <v>0.59940000000000004</v>
      </c>
      <c r="N22" s="34">
        <v>0.29039999999999999</v>
      </c>
      <c r="O22" s="24" t="s">
        <v>1041</v>
      </c>
    </row>
    <row r="23" spans="1:15" ht="67.5">
      <c r="B23" s="79">
        <v>16</v>
      </c>
      <c r="C23" s="80" t="s">
        <v>158</v>
      </c>
      <c r="D23" s="80">
        <v>2208.3000000000002</v>
      </c>
      <c r="E23" s="80" t="s">
        <v>508</v>
      </c>
      <c r="F23" s="42" t="s">
        <v>1</v>
      </c>
      <c r="G23" s="32" t="s">
        <v>1029</v>
      </c>
      <c r="H23" s="32" t="s">
        <v>291</v>
      </c>
      <c r="I23" s="32" t="s">
        <v>301</v>
      </c>
      <c r="J23" s="32" t="s">
        <v>1039</v>
      </c>
      <c r="K23" s="34">
        <v>0.74480000000000002</v>
      </c>
      <c r="L23" s="34">
        <v>0.69020000000000004</v>
      </c>
      <c r="M23" s="34">
        <v>0.59940000000000004</v>
      </c>
      <c r="N23" s="34">
        <v>0.29039999999999999</v>
      </c>
      <c r="O23" s="24" t="s">
        <v>1041</v>
      </c>
    </row>
    <row r="24" spans="1:15" ht="67.5">
      <c r="B24" s="79">
        <v>17</v>
      </c>
      <c r="C24" s="80" t="s">
        <v>159</v>
      </c>
      <c r="D24" s="80">
        <v>2205</v>
      </c>
      <c r="E24" s="80" t="s">
        <v>509</v>
      </c>
      <c r="F24" s="42" t="s">
        <v>1</v>
      </c>
      <c r="G24" s="32" t="s">
        <v>1030</v>
      </c>
      <c r="H24" s="32" t="s">
        <v>291</v>
      </c>
      <c r="I24" s="32" t="s">
        <v>301</v>
      </c>
      <c r="J24" s="32" t="s">
        <v>1039</v>
      </c>
      <c r="K24" s="34">
        <v>0.74480000000000002</v>
      </c>
      <c r="L24" s="34">
        <v>0.69020000000000004</v>
      </c>
      <c r="M24" s="34">
        <v>0.59940000000000004</v>
      </c>
      <c r="N24" s="34">
        <v>0.29039999999999999</v>
      </c>
      <c r="O24" s="24" t="s">
        <v>1041</v>
      </c>
    </row>
    <row r="25" spans="1:15" ht="67.5">
      <c r="B25" s="79">
        <v>18</v>
      </c>
      <c r="C25" s="80" t="s">
        <v>160</v>
      </c>
      <c r="D25" s="80" t="s">
        <v>510</v>
      </c>
      <c r="E25" s="80" t="s">
        <v>511</v>
      </c>
      <c r="F25" s="42" t="s">
        <v>1</v>
      </c>
      <c r="G25" s="32" t="s">
        <v>1031</v>
      </c>
      <c r="H25" s="32" t="s">
        <v>291</v>
      </c>
      <c r="I25" s="32" t="s">
        <v>301</v>
      </c>
      <c r="J25" s="32" t="s">
        <v>1039</v>
      </c>
      <c r="K25" s="34">
        <v>0.74480000000000002</v>
      </c>
      <c r="L25" s="34">
        <v>0.69020000000000004</v>
      </c>
      <c r="M25" s="34">
        <v>0.59940000000000004</v>
      </c>
      <c r="N25" s="34">
        <v>0.29039999999999999</v>
      </c>
      <c r="O25" s="24" t="s">
        <v>1041</v>
      </c>
    </row>
    <row r="26" spans="1:15" ht="67.5">
      <c r="B26" s="79">
        <v>19</v>
      </c>
      <c r="C26" s="80" t="s">
        <v>161</v>
      </c>
      <c r="D26" s="80" t="s">
        <v>487</v>
      </c>
      <c r="E26" s="80" t="s">
        <v>512</v>
      </c>
      <c r="F26" s="42" t="s">
        <v>1</v>
      </c>
      <c r="G26" s="32" t="s">
        <v>1032</v>
      </c>
      <c r="H26" s="32" t="s">
        <v>291</v>
      </c>
      <c r="I26" s="32" t="s">
        <v>301</v>
      </c>
      <c r="J26" s="32" t="s">
        <v>1039</v>
      </c>
      <c r="K26" s="34">
        <v>0.74480000000000002</v>
      </c>
      <c r="L26" s="34">
        <v>0.69020000000000004</v>
      </c>
      <c r="M26" s="34">
        <v>0.59940000000000004</v>
      </c>
      <c r="N26" s="34">
        <v>0.29039999999999999</v>
      </c>
      <c r="O26" s="24" t="s">
        <v>1041</v>
      </c>
    </row>
    <row r="27" spans="1:15" ht="67.5">
      <c r="A27" s="25"/>
      <c r="B27" s="79">
        <v>20</v>
      </c>
      <c r="C27" s="80" t="s">
        <v>162</v>
      </c>
      <c r="D27" s="80" t="s">
        <v>487</v>
      </c>
      <c r="E27" s="80" t="s">
        <v>513</v>
      </c>
      <c r="F27" s="42" t="s">
        <v>1</v>
      </c>
      <c r="G27" s="32" t="s">
        <v>1033</v>
      </c>
      <c r="H27" s="32" t="s">
        <v>291</v>
      </c>
      <c r="I27" s="32" t="s">
        <v>301</v>
      </c>
      <c r="J27" s="32" t="s">
        <v>1039</v>
      </c>
      <c r="K27" s="34">
        <v>0.74480000000000002</v>
      </c>
      <c r="L27" s="34">
        <v>0.69020000000000004</v>
      </c>
      <c r="M27" s="34">
        <v>0.59940000000000004</v>
      </c>
      <c r="N27" s="34">
        <v>0.29039999999999999</v>
      </c>
      <c r="O27" s="24" t="s">
        <v>1041</v>
      </c>
    </row>
    <row r="28" spans="1:15" ht="67.5">
      <c r="B28" s="79">
        <v>21</v>
      </c>
      <c r="C28" s="80" t="s">
        <v>163</v>
      </c>
      <c r="D28" s="80" t="s">
        <v>495</v>
      </c>
      <c r="E28" s="80" t="s">
        <v>1020</v>
      </c>
      <c r="F28" s="42" t="s">
        <v>1</v>
      </c>
      <c r="G28" s="32" t="s">
        <v>1034</v>
      </c>
      <c r="H28" s="32" t="s">
        <v>291</v>
      </c>
      <c r="I28" s="32" t="s">
        <v>301</v>
      </c>
      <c r="J28" s="32" t="s">
        <v>1039</v>
      </c>
      <c r="K28" s="34">
        <v>0.74480000000000002</v>
      </c>
      <c r="L28" s="34">
        <v>0.69020000000000004</v>
      </c>
      <c r="M28" s="34">
        <v>0.59940000000000004</v>
      </c>
      <c r="N28" s="34">
        <v>0.29039999999999999</v>
      </c>
      <c r="O28" s="24" t="s">
        <v>1041</v>
      </c>
    </row>
    <row r="29" spans="1:15" ht="67.5">
      <c r="B29" s="79">
        <v>22</v>
      </c>
      <c r="C29" s="80" t="s">
        <v>164</v>
      </c>
      <c r="D29" s="80" t="s">
        <v>514</v>
      </c>
      <c r="E29" s="80" t="s">
        <v>515</v>
      </c>
      <c r="F29" s="42" t="s">
        <v>1</v>
      </c>
      <c r="G29" s="32" t="s">
        <v>1035</v>
      </c>
      <c r="H29" s="32" t="s">
        <v>291</v>
      </c>
      <c r="I29" s="32" t="s">
        <v>301</v>
      </c>
      <c r="J29" s="32" t="s">
        <v>1039</v>
      </c>
      <c r="K29" s="34">
        <v>0.74480000000000002</v>
      </c>
      <c r="L29" s="34">
        <v>0.69020000000000004</v>
      </c>
      <c r="M29" s="34">
        <v>0.59940000000000004</v>
      </c>
      <c r="N29" s="34">
        <v>0.29039999999999999</v>
      </c>
      <c r="O29" s="24" t="s">
        <v>1041</v>
      </c>
    </row>
    <row r="30" spans="1:15" ht="67.5">
      <c r="B30" s="79">
        <v>23</v>
      </c>
      <c r="C30" s="80" t="s">
        <v>165</v>
      </c>
      <c r="D30" s="81" t="s">
        <v>1018</v>
      </c>
      <c r="E30" s="80" t="s">
        <v>516</v>
      </c>
      <c r="F30" s="42" t="s">
        <v>1</v>
      </c>
      <c r="G30" s="32" t="s">
        <v>1036</v>
      </c>
      <c r="H30" s="32" t="s">
        <v>291</v>
      </c>
      <c r="I30" s="32" t="s">
        <v>301</v>
      </c>
      <c r="J30" s="32" t="s">
        <v>1039</v>
      </c>
      <c r="K30" s="34">
        <v>0.74480000000000002</v>
      </c>
      <c r="L30" s="34">
        <v>0.69020000000000004</v>
      </c>
      <c r="M30" s="34">
        <v>0.59940000000000004</v>
      </c>
      <c r="N30" s="34">
        <v>0.29039999999999999</v>
      </c>
      <c r="O30" s="24" t="s">
        <v>1041</v>
      </c>
    </row>
    <row r="31" spans="1:15" ht="67.5">
      <c r="A31" s="25"/>
      <c r="B31" s="79">
        <v>24</v>
      </c>
      <c r="C31" s="80" t="s">
        <v>166</v>
      </c>
      <c r="D31" s="80">
        <v>2204</v>
      </c>
      <c r="E31" s="81" t="s">
        <v>1021</v>
      </c>
      <c r="F31" s="42" t="s">
        <v>1</v>
      </c>
      <c r="G31" s="32" t="s">
        <v>1037</v>
      </c>
      <c r="H31" s="32" t="s">
        <v>291</v>
      </c>
      <c r="I31" s="32" t="s">
        <v>301</v>
      </c>
      <c r="J31" s="32" t="s">
        <v>1039</v>
      </c>
      <c r="K31" s="34">
        <v>0.74480000000000002</v>
      </c>
      <c r="L31" s="34">
        <v>0.69020000000000004</v>
      </c>
      <c r="M31" s="34">
        <v>0.59940000000000004</v>
      </c>
      <c r="N31" s="34">
        <v>0.29039999999999999</v>
      </c>
      <c r="O31" s="24" t="s">
        <v>1041</v>
      </c>
    </row>
    <row r="32" spans="1:15" ht="67.5">
      <c r="B32" s="84">
        <v>25</v>
      </c>
      <c r="C32" s="80" t="s">
        <v>167</v>
      </c>
      <c r="D32" s="81" t="s">
        <v>1022</v>
      </c>
      <c r="E32" s="81" t="s">
        <v>517</v>
      </c>
      <c r="F32" s="42" t="s">
        <v>1</v>
      </c>
      <c r="G32" s="32" t="s">
        <v>1038</v>
      </c>
      <c r="H32" s="32" t="s">
        <v>291</v>
      </c>
      <c r="I32" s="32" t="s">
        <v>301</v>
      </c>
      <c r="J32" s="32" t="s">
        <v>1039</v>
      </c>
      <c r="K32" s="34">
        <v>0.74480000000000002</v>
      </c>
      <c r="L32" s="34">
        <v>0.69020000000000004</v>
      </c>
      <c r="M32" s="34">
        <v>0.59940000000000004</v>
      </c>
      <c r="N32" s="34">
        <v>0.29039999999999999</v>
      </c>
      <c r="O32" s="24" t="s">
        <v>1041</v>
      </c>
    </row>
    <row r="33" spans="2:15" ht="67.5">
      <c r="B33" s="84">
        <v>26</v>
      </c>
      <c r="C33" s="83" t="s">
        <v>146</v>
      </c>
      <c r="D33" s="75" t="s">
        <v>1044</v>
      </c>
      <c r="E33" s="85" t="s">
        <v>1046</v>
      </c>
      <c r="F33" s="88" t="s">
        <v>1</v>
      </c>
      <c r="G33" s="32" t="s">
        <v>1038</v>
      </c>
      <c r="H33" s="32" t="s">
        <v>291</v>
      </c>
      <c r="I33" s="32" t="s">
        <v>301</v>
      </c>
      <c r="J33" s="32" t="s">
        <v>1039</v>
      </c>
      <c r="K33" s="86">
        <v>0.56810000000000005</v>
      </c>
      <c r="L33" s="86">
        <v>0.51910000000000001</v>
      </c>
      <c r="M33" s="86">
        <v>0.43740000000000001</v>
      </c>
      <c r="N33" s="34">
        <v>0.29039999999999999</v>
      </c>
      <c r="O33" s="24" t="s">
        <v>1172</v>
      </c>
    </row>
    <row r="34" spans="2:15" ht="67.5">
      <c r="B34" s="84">
        <v>27</v>
      </c>
      <c r="C34" s="83" t="s">
        <v>146</v>
      </c>
      <c r="D34" s="75" t="s">
        <v>1044</v>
      </c>
      <c r="E34" s="85" t="s">
        <v>1045</v>
      </c>
      <c r="F34" s="88" t="s">
        <v>1</v>
      </c>
      <c r="G34" s="32" t="s">
        <v>1038</v>
      </c>
      <c r="H34" s="32" t="s">
        <v>291</v>
      </c>
      <c r="I34" s="32" t="s">
        <v>301</v>
      </c>
      <c r="J34" s="32" t="s">
        <v>1039</v>
      </c>
      <c r="K34" s="86">
        <v>0.60880000000000001</v>
      </c>
      <c r="L34" s="86">
        <v>0.5585</v>
      </c>
      <c r="M34" s="86">
        <v>0.47470000000000001</v>
      </c>
      <c r="N34" s="34">
        <v>0.29039999999999999</v>
      </c>
      <c r="O34" s="87" t="s">
        <v>1047</v>
      </c>
    </row>
  </sheetData>
  <autoFilter ref="B7:O32"/>
  <sortState ref="B7:AU689">
    <sortCondition ref="C7"/>
  </sortState>
  <mergeCells count="2">
    <mergeCell ref="B5:O5"/>
    <mergeCell ref="B6:O6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9"/>
  <sheetViews>
    <sheetView showGridLines="0" workbookViewId="0">
      <selection activeCell="J19" sqref="J19"/>
    </sheetView>
  </sheetViews>
  <sheetFormatPr defaultRowHeight="15"/>
  <cols>
    <col min="1" max="1" width="2.42578125" customWidth="1"/>
    <col min="4" max="4" width="9.85546875" customWidth="1"/>
    <col min="5" max="5" width="22.140625" customWidth="1"/>
    <col min="7" max="8" width="13.7109375" customWidth="1"/>
    <col min="9" max="11" width="15.85546875" customWidth="1"/>
    <col min="12" max="12" width="15.85546875" style="89" customWidth="1"/>
    <col min="13" max="13" width="14.28515625" customWidth="1"/>
  </cols>
  <sheetData>
    <row r="1" spans="2:13">
      <c r="B1" s="61" t="s">
        <v>940</v>
      </c>
    </row>
    <row r="2" spans="2:13">
      <c r="B2" s="61" t="s">
        <v>941</v>
      </c>
    </row>
    <row r="3" spans="2:13">
      <c r="B3" s="61" t="s">
        <v>1043</v>
      </c>
    </row>
    <row r="4" spans="2:13">
      <c r="B4" s="61"/>
    </row>
    <row r="5" spans="2:13" ht="15" customHeight="1">
      <c r="B5" s="214" t="s">
        <v>1353</v>
      </c>
      <c r="C5" s="214"/>
      <c r="D5" s="214"/>
      <c r="E5" s="214"/>
      <c r="F5" s="214"/>
      <c r="G5" s="214"/>
      <c r="H5" s="214"/>
      <c r="I5" s="214"/>
      <c r="J5" s="214"/>
      <c r="K5" s="214"/>
      <c r="L5" s="214"/>
      <c r="M5" s="214"/>
    </row>
    <row r="6" spans="2:13" ht="65.25" customHeight="1">
      <c r="B6" s="233" t="s">
        <v>1176</v>
      </c>
      <c r="C6" s="234"/>
      <c r="D6" s="234"/>
      <c r="E6" s="234"/>
      <c r="F6" s="234"/>
      <c r="G6" s="234"/>
      <c r="H6" s="234"/>
      <c r="I6" s="234"/>
      <c r="J6" s="234"/>
      <c r="K6" s="234"/>
      <c r="L6" s="234"/>
      <c r="M6" s="234"/>
    </row>
    <row r="7" spans="2:13" ht="25.5">
      <c r="B7" s="10" t="s">
        <v>139</v>
      </c>
      <c r="C7" s="10" t="s">
        <v>0</v>
      </c>
      <c r="D7" s="10" t="s">
        <v>334</v>
      </c>
      <c r="E7" s="10" t="s">
        <v>4</v>
      </c>
      <c r="F7" s="10" t="s">
        <v>5</v>
      </c>
      <c r="G7" s="11" t="s">
        <v>173</v>
      </c>
      <c r="H7" s="11" t="s">
        <v>557</v>
      </c>
      <c r="I7" s="11" t="s">
        <v>1050</v>
      </c>
      <c r="J7" s="64" t="s">
        <v>1051</v>
      </c>
      <c r="K7" s="64" t="s">
        <v>1052</v>
      </c>
      <c r="L7" s="90" t="s">
        <v>1053</v>
      </c>
      <c r="M7" s="11" t="s">
        <v>637</v>
      </c>
    </row>
    <row r="8" spans="2:13" ht="43.5" customHeight="1">
      <c r="B8" s="1">
        <v>1</v>
      </c>
      <c r="C8" s="1" t="s">
        <v>174</v>
      </c>
      <c r="D8" s="1">
        <v>2402</v>
      </c>
      <c r="E8" s="58" t="s">
        <v>521</v>
      </c>
      <c r="F8" s="1" t="s">
        <v>1</v>
      </c>
      <c r="G8" s="1" t="s">
        <v>608</v>
      </c>
      <c r="H8" s="1" t="s">
        <v>1048</v>
      </c>
      <c r="I8" s="2">
        <v>0.5</v>
      </c>
      <c r="J8" s="12">
        <v>1.1462000000000001</v>
      </c>
      <c r="K8" s="12">
        <v>1.0307999999999999</v>
      </c>
      <c r="L8" s="12">
        <v>1.2154</v>
      </c>
      <c r="M8" s="2" t="s">
        <v>1049</v>
      </c>
    </row>
    <row r="9" spans="2:13" ht="45">
      <c r="B9" s="1">
        <v>2</v>
      </c>
      <c r="C9" s="1" t="s">
        <v>285</v>
      </c>
      <c r="D9" s="1" t="s">
        <v>522</v>
      </c>
      <c r="E9" s="58" t="s">
        <v>523</v>
      </c>
      <c r="F9" s="1" t="s">
        <v>1</v>
      </c>
      <c r="G9" s="1" t="s">
        <v>608</v>
      </c>
      <c r="H9" s="1" t="s">
        <v>1048</v>
      </c>
      <c r="I9" s="2">
        <v>0.5</v>
      </c>
      <c r="J9" s="12">
        <v>1.1462000000000001</v>
      </c>
      <c r="K9" s="12">
        <v>1.0307999999999999</v>
      </c>
      <c r="L9" s="12">
        <v>1.2154</v>
      </c>
      <c r="M9" s="2" t="s">
        <v>1049</v>
      </c>
    </row>
  </sheetData>
  <mergeCells count="2">
    <mergeCell ref="B5:M5"/>
    <mergeCell ref="B6:M6"/>
  </mergeCells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7"/>
  <sheetViews>
    <sheetView showGridLines="0" workbookViewId="0">
      <selection activeCell="H14" sqref="H14"/>
    </sheetView>
  </sheetViews>
  <sheetFormatPr defaultRowHeight="15"/>
  <cols>
    <col min="1" max="1" width="3.5703125" customWidth="1"/>
    <col min="5" max="5" width="10.42578125" customWidth="1"/>
    <col min="8" max="9" width="22.42578125" customWidth="1"/>
    <col min="10" max="10" width="12" customWidth="1"/>
    <col min="11" max="11" width="13.7109375" customWidth="1"/>
    <col min="12" max="12" width="13" customWidth="1"/>
    <col min="13" max="13" width="11.5703125" customWidth="1"/>
  </cols>
  <sheetData>
    <row r="1" spans="2:14">
      <c r="B1" s="61" t="s">
        <v>940</v>
      </c>
    </row>
    <row r="2" spans="2:14">
      <c r="B2" s="61" t="s">
        <v>941</v>
      </c>
    </row>
    <row r="3" spans="2:14">
      <c r="B3" s="61" t="s">
        <v>1043</v>
      </c>
    </row>
    <row r="4" spans="2:14">
      <c r="B4" s="61"/>
    </row>
    <row r="5" spans="2:14">
      <c r="B5" s="214" t="s">
        <v>1354</v>
      </c>
      <c r="C5" s="214"/>
      <c r="D5" s="214"/>
      <c r="E5" s="214"/>
      <c r="F5" s="214"/>
      <c r="G5" s="214"/>
      <c r="H5" s="214"/>
      <c r="I5" s="214"/>
      <c r="J5" s="214"/>
      <c r="K5" s="214"/>
      <c r="L5" s="214"/>
      <c r="M5" s="214"/>
      <c r="N5" s="35"/>
    </row>
    <row r="6" spans="2:14" ht="63.75">
      <c r="B6" s="10" t="s">
        <v>139</v>
      </c>
      <c r="C6" s="10" t="s">
        <v>0</v>
      </c>
      <c r="D6" s="10" t="s">
        <v>334</v>
      </c>
      <c r="E6" s="10" t="s">
        <v>4</v>
      </c>
      <c r="F6" s="10" t="s">
        <v>524</v>
      </c>
      <c r="G6" s="10" t="s">
        <v>5</v>
      </c>
      <c r="H6" s="28" t="s">
        <v>312</v>
      </c>
      <c r="I6" s="27" t="s">
        <v>557</v>
      </c>
      <c r="J6" s="17" t="s">
        <v>339</v>
      </c>
      <c r="K6" s="17" t="s">
        <v>340</v>
      </c>
      <c r="L6" s="17" t="s">
        <v>341</v>
      </c>
      <c r="M6" s="17" t="s">
        <v>1050</v>
      </c>
      <c r="N6" s="36" t="s">
        <v>344</v>
      </c>
    </row>
    <row r="7" spans="2:14" ht="22.5">
      <c r="B7" s="1">
        <v>1</v>
      </c>
      <c r="C7" s="1" t="s">
        <v>175</v>
      </c>
      <c r="D7" s="1">
        <v>2523</v>
      </c>
      <c r="E7" s="1" t="s">
        <v>525</v>
      </c>
      <c r="F7" s="45">
        <v>42370</v>
      </c>
      <c r="G7" s="1" t="s">
        <v>1</v>
      </c>
      <c r="H7" s="1" t="s">
        <v>176</v>
      </c>
      <c r="I7" s="1" t="s">
        <v>1054</v>
      </c>
      <c r="J7" s="12">
        <v>0.4582</v>
      </c>
      <c r="K7" s="12">
        <v>0.41270000000000001</v>
      </c>
      <c r="L7" s="12">
        <v>0.3367</v>
      </c>
      <c r="M7" s="2">
        <v>0.2</v>
      </c>
      <c r="N7" s="12">
        <v>0.21</v>
      </c>
    </row>
  </sheetData>
  <mergeCells count="1">
    <mergeCell ref="B5:M5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B81"/>
  <sheetViews>
    <sheetView showGridLines="0" workbookViewId="0">
      <selection activeCell="A7" sqref="A7:G7"/>
    </sheetView>
  </sheetViews>
  <sheetFormatPr defaultRowHeight="15"/>
  <cols>
    <col min="1" max="1" width="18.140625" customWidth="1"/>
    <col min="2" max="2" width="23.42578125" customWidth="1"/>
    <col min="3" max="3" width="14" customWidth="1"/>
    <col min="4" max="4" width="27" customWidth="1"/>
    <col min="5" max="6" width="32.5703125" customWidth="1"/>
    <col min="7" max="7" width="16.140625" customWidth="1"/>
    <col min="8" max="9" width="26.85546875" customWidth="1"/>
    <col min="10" max="10" width="19.28515625" customWidth="1"/>
    <col min="12" max="12" width="9.85546875" customWidth="1"/>
    <col min="13" max="13" width="15" customWidth="1"/>
  </cols>
  <sheetData>
    <row r="1" spans="1:28">
      <c r="A1" s="61" t="s">
        <v>940</v>
      </c>
    </row>
    <row r="2" spans="1:28">
      <c r="A2" s="61" t="s">
        <v>941</v>
      </c>
    </row>
    <row r="3" spans="1:28" ht="15" customHeight="1">
      <c r="A3" s="61" t="s">
        <v>1043</v>
      </c>
      <c r="N3" s="122"/>
      <c r="O3" s="122"/>
    </row>
    <row r="4" spans="1:28" ht="15" customHeight="1">
      <c r="A4" s="61"/>
      <c r="N4" s="122"/>
      <c r="O4" s="122"/>
    </row>
    <row r="5" spans="1:28" ht="15" customHeight="1">
      <c r="A5" s="61"/>
      <c r="N5" s="122"/>
      <c r="O5" s="122"/>
    </row>
    <row r="6" spans="1:28" ht="42.75" customHeight="1">
      <c r="A6" s="286" t="s">
        <v>1277</v>
      </c>
      <c r="B6" s="287"/>
      <c r="C6" s="287"/>
      <c r="D6" s="287"/>
      <c r="E6" s="287"/>
      <c r="F6" s="287"/>
      <c r="G6" s="287"/>
      <c r="H6" s="282"/>
      <c r="I6" s="282"/>
      <c r="J6" s="278"/>
      <c r="K6" s="163"/>
      <c r="L6" s="163"/>
      <c r="M6" s="163"/>
      <c r="N6" s="163"/>
      <c r="O6" s="122"/>
    </row>
    <row r="7" spans="1:28" ht="42.75" customHeight="1">
      <c r="A7" s="283" t="s">
        <v>1351</v>
      </c>
      <c r="B7" s="284"/>
      <c r="C7" s="284"/>
      <c r="D7" s="284"/>
      <c r="E7" s="284"/>
      <c r="F7" s="284"/>
      <c r="G7" s="285"/>
      <c r="H7" s="280" t="s">
        <v>1274</v>
      </c>
      <c r="I7" s="281"/>
      <c r="J7" s="163"/>
      <c r="K7" s="163"/>
      <c r="L7" s="163"/>
      <c r="M7" s="163"/>
      <c r="N7" s="163"/>
      <c r="O7" s="122"/>
    </row>
    <row r="8" spans="1:28" s="187" customFormat="1" ht="64.5" customHeight="1">
      <c r="A8" s="273" t="s">
        <v>140</v>
      </c>
      <c r="B8" s="273" t="s">
        <v>0</v>
      </c>
      <c r="C8" s="273" t="s">
        <v>334</v>
      </c>
      <c r="D8" s="273" t="s">
        <v>1182</v>
      </c>
      <c r="E8" s="273" t="s">
        <v>1183</v>
      </c>
      <c r="F8" s="273" t="s">
        <v>1112</v>
      </c>
      <c r="G8" s="274" t="s">
        <v>1184</v>
      </c>
      <c r="H8" s="275" t="s">
        <v>1185</v>
      </c>
      <c r="I8" s="276" t="s">
        <v>1186</v>
      </c>
      <c r="J8" s="277" t="s">
        <v>1276</v>
      </c>
      <c r="N8" s="126"/>
      <c r="O8" s="126"/>
    </row>
    <row r="9" spans="1:28" s="187" customFormat="1" ht="42.75">
      <c r="A9" s="241">
        <v>2</v>
      </c>
      <c r="B9" s="241" t="s">
        <v>645</v>
      </c>
      <c r="C9" s="241" t="s">
        <v>582</v>
      </c>
      <c r="D9" s="241" t="s">
        <v>646</v>
      </c>
      <c r="E9" s="190" t="s">
        <v>1187</v>
      </c>
      <c r="F9" s="190" t="s">
        <v>1278</v>
      </c>
      <c r="G9" s="191">
        <v>13.15</v>
      </c>
      <c r="H9" s="192">
        <f t="shared" ref="H9:H22" si="0">G9*1.2</f>
        <v>15.78</v>
      </c>
      <c r="I9" s="192">
        <f t="shared" ref="I9:I22" si="1">G9*1.35</f>
        <v>17.752500000000001</v>
      </c>
      <c r="J9" s="279">
        <v>0.21</v>
      </c>
    </row>
    <row r="10" spans="1:28" s="187" customFormat="1" ht="42.75">
      <c r="A10" s="236"/>
      <c r="B10" s="236"/>
      <c r="C10" s="236"/>
      <c r="D10" s="236"/>
      <c r="E10" s="190" t="s">
        <v>1188</v>
      </c>
      <c r="F10" s="190" t="s">
        <v>1279</v>
      </c>
      <c r="G10" s="191">
        <v>40.76</v>
      </c>
      <c r="H10" s="192">
        <f t="shared" si="0"/>
        <v>48.911999999999999</v>
      </c>
      <c r="I10" s="192">
        <f t="shared" si="1"/>
        <v>55.026000000000003</v>
      </c>
      <c r="J10" s="279">
        <v>0.21</v>
      </c>
    </row>
    <row r="11" spans="1:28" s="187" customFormat="1" ht="114">
      <c r="A11" s="193">
        <v>3</v>
      </c>
      <c r="B11" s="193" t="s">
        <v>1189</v>
      </c>
      <c r="C11" s="193" t="s">
        <v>582</v>
      </c>
      <c r="D11" s="193" t="s">
        <v>1190</v>
      </c>
      <c r="E11" s="193" t="s">
        <v>1191</v>
      </c>
      <c r="F11" s="190" t="s">
        <v>1280</v>
      </c>
      <c r="G11" s="191">
        <v>22.28</v>
      </c>
      <c r="H11" s="192">
        <f t="shared" si="0"/>
        <v>26.736000000000001</v>
      </c>
      <c r="I11" s="192">
        <f t="shared" si="1"/>
        <v>30.078000000000003</v>
      </c>
      <c r="J11" s="279">
        <v>0.21</v>
      </c>
      <c r="K11" s="194"/>
      <c r="L11" s="194"/>
      <c r="M11" s="194"/>
      <c r="N11" s="194"/>
      <c r="O11" s="194"/>
      <c r="P11" s="194"/>
      <c r="Q11" s="194"/>
      <c r="R11" s="194"/>
      <c r="S11" s="194"/>
      <c r="T11" s="194"/>
      <c r="U11" s="194"/>
      <c r="V11" s="194"/>
      <c r="W11" s="194"/>
      <c r="X11" s="194"/>
      <c r="Y11" s="194"/>
      <c r="Z11" s="194"/>
      <c r="AA11" s="194"/>
      <c r="AB11" s="194"/>
    </row>
    <row r="12" spans="1:28" s="187" customFormat="1" ht="42.75">
      <c r="A12" s="242">
        <v>4</v>
      </c>
      <c r="B12" s="242" t="s">
        <v>1192</v>
      </c>
      <c r="C12" s="242" t="s">
        <v>1193</v>
      </c>
      <c r="D12" s="243" t="s">
        <v>1194</v>
      </c>
      <c r="E12" s="195" t="s">
        <v>1195</v>
      </c>
      <c r="F12" s="190" t="s">
        <v>1281</v>
      </c>
      <c r="G12" s="196">
        <v>19.399999999999999</v>
      </c>
      <c r="H12" s="197">
        <f t="shared" si="0"/>
        <v>23.279999999999998</v>
      </c>
      <c r="I12" s="197">
        <f t="shared" si="1"/>
        <v>26.19</v>
      </c>
      <c r="J12" s="279">
        <v>0.21</v>
      </c>
      <c r="K12" s="198"/>
      <c r="L12" s="198"/>
      <c r="M12" s="198"/>
      <c r="N12" s="198"/>
      <c r="O12" s="198"/>
      <c r="P12" s="198"/>
      <c r="Q12" s="198"/>
      <c r="R12" s="198"/>
      <c r="S12" s="198"/>
      <c r="T12" s="198"/>
      <c r="U12" s="198"/>
      <c r="V12" s="198"/>
      <c r="W12" s="198"/>
      <c r="X12" s="198"/>
      <c r="Y12" s="198"/>
      <c r="Z12" s="198"/>
      <c r="AA12" s="198"/>
      <c r="AB12" s="198"/>
    </row>
    <row r="13" spans="1:28" s="187" customFormat="1" ht="42.75">
      <c r="A13" s="238"/>
      <c r="B13" s="238"/>
      <c r="C13" s="238"/>
      <c r="D13" s="238"/>
      <c r="E13" s="195" t="s">
        <v>1196</v>
      </c>
      <c r="F13" s="190" t="s">
        <v>1282</v>
      </c>
      <c r="G13" s="196">
        <v>33.619999999999997</v>
      </c>
      <c r="H13" s="197">
        <f t="shared" si="0"/>
        <v>40.343999999999994</v>
      </c>
      <c r="I13" s="197">
        <f t="shared" si="1"/>
        <v>45.387</v>
      </c>
      <c r="J13" s="279">
        <v>0.21</v>
      </c>
    </row>
    <row r="14" spans="1:28" s="187" customFormat="1" ht="56.25" customHeight="1">
      <c r="A14" s="238"/>
      <c r="B14" s="238"/>
      <c r="C14" s="238"/>
      <c r="D14" s="238"/>
      <c r="E14" s="195" t="s">
        <v>1197</v>
      </c>
      <c r="F14" s="190" t="s">
        <v>1283</v>
      </c>
      <c r="G14" s="196">
        <v>19.2</v>
      </c>
      <c r="H14" s="197">
        <f t="shared" si="0"/>
        <v>23.04</v>
      </c>
      <c r="I14" s="197">
        <f t="shared" si="1"/>
        <v>25.92</v>
      </c>
      <c r="J14" s="279">
        <v>0.21</v>
      </c>
    </row>
    <row r="15" spans="1:28" s="187" customFormat="1" ht="57" customHeight="1">
      <c r="A15" s="236"/>
      <c r="B15" s="236"/>
      <c r="C15" s="236"/>
      <c r="D15" s="236"/>
      <c r="E15" s="195" t="s">
        <v>1198</v>
      </c>
      <c r="F15" s="190" t="s">
        <v>1284</v>
      </c>
      <c r="G15" s="196">
        <v>16.89</v>
      </c>
      <c r="H15" s="197">
        <f t="shared" si="0"/>
        <v>20.268000000000001</v>
      </c>
      <c r="I15" s="197">
        <f t="shared" si="1"/>
        <v>22.801500000000001</v>
      </c>
      <c r="J15" s="279">
        <v>0.21</v>
      </c>
    </row>
    <row r="16" spans="1:28" s="187" customFormat="1" ht="173.25">
      <c r="A16" s="199">
        <v>5</v>
      </c>
      <c r="B16" s="199" t="s">
        <v>1199</v>
      </c>
      <c r="C16" s="199" t="s">
        <v>1200</v>
      </c>
      <c r="D16" s="199" t="s">
        <v>1201</v>
      </c>
      <c r="E16" s="199" t="s">
        <v>1202</v>
      </c>
      <c r="F16" s="190" t="s">
        <v>1285</v>
      </c>
      <c r="G16" s="200">
        <v>14.4</v>
      </c>
      <c r="H16" s="192">
        <f t="shared" si="0"/>
        <v>17.28</v>
      </c>
      <c r="I16" s="192">
        <f t="shared" si="1"/>
        <v>19.440000000000001</v>
      </c>
      <c r="J16" s="279">
        <v>0.21</v>
      </c>
    </row>
    <row r="17" spans="1:10" s="187" customFormat="1" ht="44.25" customHeight="1">
      <c r="A17" s="241">
        <v>6</v>
      </c>
      <c r="B17" s="241" t="s">
        <v>1203</v>
      </c>
      <c r="C17" s="241" t="s">
        <v>1204</v>
      </c>
      <c r="D17" s="241" t="s">
        <v>1205</v>
      </c>
      <c r="E17" s="193" t="s">
        <v>1206</v>
      </c>
      <c r="F17" s="190" t="s">
        <v>1286</v>
      </c>
      <c r="G17" s="201">
        <v>7.23</v>
      </c>
      <c r="H17" s="192">
        <f t="shared" si="0"/>
        <v>8.6760000000000002</v>
      </c>
      <c r="I17" s="192">
        <f t="shared" si="1"/>
        <v>9.7605000000000004</v>
      </c>
      <c r="J17" s="279">
        <v>0.21</v>
      </c>
    </row>
    <row r="18" spans="1:10" s="187" customFormat="1" ht="62.25" customHeight="1">
      <c r="A18" s="236"/>
      <c r="B18" s="236"/>
      <c r="C18" s="236"/>
      <c r="D18" s="236"/>
      <c r="E18" s="193" t="s">
        <v>1207</v>
      </c>
      <c r="F18" s="190" t="s">
        <v>1287</v>
      </c>
      <c r="G18" s="201">
        <v>6.35</v>
      </c>
      <c r="H18" s="192">
        <f t="shared" si="0"/>
        <v>7.6199999999999992</v>
      </c>
      <c r="I18" s="192">
        <f t="shared" si="1"/>
        <v>8.5724999999999998</v>
      </c>
      <c r="J18" s="279">
        <v>0.21</v>
      </c>
    </row>
    <row r="19" spans="1:10" s="187" customFormat="1" ht="186.75">
      <c r="A19" s="193">
        <v>7</v>
      </c>
      <c r="B19" s="193" t="s">
        <v>1208</v>
      </c>
      <c r="C19" s="193" t="s">
        <v>1204</v>
      </c>
      <c r="D19" s="193" t="s">
        <v>1209</v>
      </c>
      <c r="E19" s="193" t="s">
        <v>1210</v>
      </c>
      <c r="F19" s="190" t="s">
        <v>1288</v>
      </c>
      <c r="G19" s="201">
        <v>7.11</v>
      </c>
      <c r="H19" s="192">
        <f t="shared" si="0"/>
        <v>8.532</v>
      </c>
      <c r="I19" s="192">
        <f t="shared" si="1"/>
        <v>9.5985000000000014</v>
      </c>
      <c r="J19" s="279">
        <v>0.21</v>
      </c>
    </row>
    <row r="20" spans="1:10" s="187" customFormat="1" ht="42.75">
      <c r="A20" s="241">
        <v>8</v>
      </c>
      <c r="B20" s="241" t="s">
        <v>232</v>
      </c>
      <c r="C20" s="241" t="s">
        <v>583</v>
      </c>
      <c r="D20" s="241" t="s">
        <v>1211</v>
      </c>
      <c r="E20" s="202" t="s">
        <v>1212</v>
      </c>
      <c r="F20" s="190" t="s">
        <v>1289</v>
      </c>
      <c r="G20" s="203">
        <v>21.11</v>
      </c>
      <c r="H20" s="191">
        <f t="shared" si="0"/>
        <v>25.331999999999997</v>
      </c>
      <c r="I20" s="191">
        <f t="shared" si="1"/>
        <v>28.4985</v>
      </c>
      <c r="J20" s="279">
        <v>0.21</v>
      </c>
    </row>
    <row r="21" spans="1:10" s="187" customFormat="1" ht="42.75">
      <c r="A21" s="238"/>
      <c r="B21" s="238"/>
      <c r="C21" s="238"/>
      <c r="D21" s="238"/>
      <c r="E21" s="202" t="s">
        <v>1213</v>
      </c>
      <c r="F21" s="190" t="s">
        <v>1290</v>
      </c>
      <c r="G21" s="203">
        <v>28.93</v>
      </c>
      <c r="H21" s="191">
        <f t="shared" si="0"/>
        <v>34.716000000000001</v>
      </c>
      <c r="I21" s="191">
        <f t="shared" si="1"/>
        <v>39.055500000000002</v>
      </c>
      <c r="J21" s="279">
        <v>0.21</v>
      </c>
    </row>
    <row r="22" spans="1:10" s="187" customFormat="1" ht="42.75">
      <c r="A22" s="236"/>
      <c r="B22" s="236"/>
      <c r="C22" s="236"/>
      <c r="D22" s="236"/>
      <c r="E22" s="202" t="s">
        <v>1214</v>
      </c>
      <c r="F22" s="190" t="s">
        <v>1291</v>
      </c>
      <c r="G22" s="203">
        <v>24.44</v>
      </c>
      <c r="H22" s="191">
        <f t="shared" si="0"/>
        <v>29.327999999999999</v>
      </c>
      <c r="I22" s="191">
        <f t="shared" si="1"/>
        <v>32.994000000000007</v>
      </c>
      <c r="J22" s="279">
        <v>0.21</v>
      </c>
    </row>
    <row r="23" spans="1:10" s="187" customFormat="1" ht="25.5" customHeight="1">
      <c r="A23" s="204">
        <v>9</v>
      </c>
      <c r="B23" s="204" t="s">
        <v>233</v>
      </c>
      <c r="C23" s="204" t="s">
        <v>584</v>
      </c>
      <c r="D23" s="205" t="s">
        <v>585</v>
      </c>
      <c r="E23" s="206" t="s">
        <v>585</v>
      </c>
      <c r="F23" s="190" t="s">
        <v>1292</v>
      </c>
      <c r="G23" s="207">
        <v>28.76</v>
      </c>
      <c r="H23" s="207">
        <f t="shared" ref="H23:H66" si="2">G23*1.3</f>
        <v>37.388000000000005</v>
      </c>
      <c r="I23" s="207">
        <f t="shared" ref="I23:I66" si="3">G23*1.45</f>
        <v>41.701999999999998</v>
      </c>
      <c r="J23" s="279">
        <v>0.21</v>
      </c>
    </row>
    <row r="24" spans="1:10" s="187" customFormat="1" ht="42.75">
      <c r="A24" s="235">
        <v>10</v>
      </c>
      <c r="B24" s="235" t="s">
        <v>234</v>
      </c>
      <c r="C24" s="235" t="s">
        <v>586</v>
      </c>
      <c r="D24" s="240" t="s">
        <v>587</v>
      </c>
      <c r="E24" s="206" t="s">
        <v>1215</v>
      </c>
      <c r="F24" s="190" t="s">
        <v>1293</v>
      </c>
      <c r="G24" s="207">
        <v>23.53</v>
      </c>
      <c r="H24" s="207">
        <f t="shared" si="2"/>
        <v>30.589000000000002</v>
      </c>
      <c r="I24" s="207">
        <f t="shared" si="3"/>
        <v>34.118499999999997</v>
      </c>
      <c r="J24" s="279">
        <v>0.21</v>
      </c>
    </row>
    <row r="25" spans="1:10" s="187" customFormat="1" ht="42.75">
      <c r="A25" s="238"/>
      <c r="B25" s="238"/>
      <c r="C25" s="238"/>
      <c r="D25" s="238"/>
      <c r="E25" s="206" t="s">
        <v>1216</v>
      </c>
      <c r="F25" s="190" t="s">
        <v>1294</v>
      </c>
      <c r="G25" s="207">
        <v>38.29</v>
      </c>
      <c r="H25" s="207">
        <f t="shared" si="2"/>
        <v>49.777000000000001</v>
      </c>
      <c r="I25" s="207">
        <f t="shared" si="3"/>
        <v>55.520499999999998</v>
      </c>
      <c r="J25" s="279">
        <v>0.21</v>
      </c>
    </row>
    <row r="26" spans="1:10" s="187" customFormat="1" ht="42.75">
      <c r="A26" s="238"/>
      <c r="B26" s="238"/>
      <c r="C26" s="238"/>
      <c r="D26" s="238"/>
      <c r="E26" s="206" t="s">
        <v>1217</v>
      </c>
      <c r="F26" s="190" t="s">
        <v>1295</v>
      </c>
      <c r="G26" s="207">
        <v>39.659999999999997</v>
      </c>
      <c r="H26" s="207">
        <f t="shared" si="2"/>
        <v>51.558</v>
      </c>
      <c r="I26" s="207">
        <f t="shared" si="3"/>
        <v>57.506999999999991</v>
      </c>
      <c r="J26" s="279">
        <v>0.21</v>
      </c>
    </row>
    <row r="27" spans="1:10" s="187" customFormat="1" ht="42.75">
      <c r="A27" s="238"/>
      <c r="B27" s="238"/>
      <c r="C27" s="238"/>
      <c r="D27" s="238"/>
      <c r="E27" s="206" t="s">
        <v>1218</v>
      </c>
      <c r="F27" s="190" t="s">
        <v>1296</v>
      </c>
      <c r="G27" s="207">
        <v>34.520000000000003</v>
      </c>
      <c r="H27" s="207">
        <f t="shared" si="2"/>
        <v>44.876000000000005</v>
      </c>
      <c r="I27" s="207">
        <f t="shared" si="3"/>
        <v>50.054000000000002</v>
      </c>
      <c r="J27" s="279">
        <v>0.21</v>
      </c>
    </row>
    <row r="28" spans="1:10" s="187" customFormat="1" ht="42.75">
      <c r="A28" s="236"/>
      <c r="B28" s="236"/>
      <c r="C28" s="236"/>
      <c r="D28" s="236"/>
      <c r="E28" s="206" t="s">
        <v>1219</v>
      </c>
      <c r="F28" s="190" t="s">
        <v>1297</v>
      </c>
      <c r="G28" s="207">
        <v>47.59</v>
      </c>
      <c r="H28" s="207">
        <f t="shared" si="2"/>
        <v>61.867000000000004</v>
      </c>
      <c r="I28" s="207">
        <f t="shared" si="3"/>
        <v>69.005499999999998</v>
      </c>
      <c r="J28" s="279">
        <v>0.21</v>
      </c>
    </row>
    <row r="29" spans="1:10" s="187" customFormat="1" ht="42.75">
      <c r="A29" s="240">
        <v>11</v>
      </c>
      <c r="B29" s="235" t="s">
        <v>1220</v>
      </c>
      <c r="C29" s="235" t="s">
        <v>1221</v>
      </c>
      <c r="D29" s="235" t="s">
        <v>1222</v>
      </c>
      <c r="E29" s="204" t="s">
        <v>1223</v>
      </c>
      <c r="F29" s="190" t="s">
        <v>1298</v>
      </c>
      <c r="G29" s="207">
        <v>18.989999999999998</v>
      </c>
      <c r="H29" s="207">
        <f t="shared" si="2"/>
        <v>24.686999999999998</v>
      </c>
      <c r="I29" s="207">
        <f t="shared" si="3"/>
        <v>27.535499999999995</v>
      </c>
      <c r="J29" s="279">
        <v>0.21</v>
      </c>
    </row>
    <row r="30" spans="1:10" s="187" customFormat="1" ht="43.5">
      <c r="A30" s="238"/>
      <c r="B30" s="238"/>
      <c r="C30" s="238"/>
      <c r="D30" s="238"/>
      <c r="E30" s="204" t="s">
        <v>1224</v>
      </c>
      <c r="F30" s="190" t="s">
        <v>1299</v>
      </c>
      <c r="G30" s="207">
        <v>12.57</v>
      </c>
      <c r="H30" s="207">
        <f t="shared" si="2"/>
        <v>16.341000000000001</v>
      </c>
      <c r="I30" s="207">
        <f t="shared" si="3"/>
        <v>18.226500000000001</v>
      </c>
      <c r="J30" s="279">
        <v>0.21</v>
      </c>
    </row>
    <row r="31" spans="1:10" s="187" customFormat="1" ht="42.75">
      <c r="A31" s="238"/>
      <c r="B31" s="238"/>
      <c r="C31" s="238"/>
      <c r="D31" s="238"/>
      <c r="E31" s="204" t="s">
        <v>1225</v>
      </c>
      <c r="F31" s="190" t="s">
        <v>1300</v>
      </c>
      <c r="G31" s="207">
        <v>19.16</v>
      </c>
      <c r="H31" s="207">
        <f t="shared" si="2"/>
        <v>24.908000000000001</v>
      </c>
      <c r="I31" s="207">
        <f t="shared" si="3"/>
        <v>27.782</v>
      </c>
      <c r="J31" s="279">
        <v>0.21</v>
      </c>
    </row>
    <row r="32" spans="1:10" s="187" customFormat="1" ht="43.5">
      <c r="A32" s="238"/>
      <c r="B32" s="238"/>
      <c r="C32" s="238"/>
      <c r="D32" s="238"/>
      <c r="E32" s="204" t="s">
        <v>1226</v>
      </c>
      <c r="F32" s="190" t="s">
        <v>1301</v>
      </c>
      <c r="G32" s="207">
        <v>12.74</v>
      </c>
      <c r="H32" s="207">
        <f t="shared" si="2"/>
        <v>16.562000000000001</v>
      </c>
      <c r="I32" s="207">
        <f t="shared" si="3"/>
        <v>18.472999999999999</v>
      </c>
      <c r="J32" s="279">
        <v>0.21</v>
      </c>
    </row>
    <row r="33" spans="1:12" s="187" customFormat="1" ht="42.75">
      <c r="A33" s="238"/>
      <c r="B33" s="238"/>
      <c r="C33" s="238"/>
      <c r="D33" s="238"/>
      <c r="E33" s="204" t="s">
        <v>1227</v>
      </c>
      <c r="F33" s="190" t="s">
        <v>1302</v>
      </c>
      <c r="G33" s="207">
        <v>27.14</v>
      </c>
      <c r="H33" s="207">
        <f t="shared" si="2"/>
        <v>35.282000000000004</v>
      </c>
      <c r="I33" s="207">
        <f t="shared" si="3"/>
        <v>39.353000000000002</v>
      </c>
      <c r="J33" s="279">
        <v>0.21</v>
      </c>
    </row>
    <row r="34" spans="1:12" s="187" customFormat="1" ht="42.75">
      <c r="A34" s="238"/>
      <c r="B34" s="238"/>
      <c r="C34" s="238"/>
      <c r="D34" s="238"/>
      <c r="E34" s="204" t="s">
        <v>1228</v>
      </c>
      <c r="F34" s="190" t="s">
        <v>1303</v>
      </c>
      <c r="G34" s="207">
        <v>18.989999999999998</v>
      </c>
      <c r="H34" s="207">
        <f t="shared" si="2"/>
        <v>24.686999999999998</v>
      </c>
      <c r="I34" s="207">
        <f t="shared" si="3"/>
        <v>27.535499999999995</v>
      </c>
      <c r="J34" s="279">
        <v>0.21</v>
      </c>
    </row>
    <row r="35" spans="1:12" s="187" customFormat="1" ht="42.75">
      <c r="A35" s="238"/>
      <c r="B35" s="238"/>
      <c r="C35" s="238"/>
      <c r="D35" s="238"/>
      <c r="E35" s="204" t="s">
        <v>1229</v>
      </c>
      <c r="F35" s="190" t="s">
        <v>1304</v>
      </c>
      <c r="G35" s="207">
        <v>13.06</v>
      </c>
      <c r="H35" s="207">
        <f t="shared" si="2"/>
        <v>16.978000000000002</v>
      </c>
      <c r="I35" s="207">
        <f t="shared" si="3"/>
        <v>18.937000000000001</v>
      </c>
      <c r="J35" s="279">
        <v>0.21</v>
      </c>
    </row>
    <row r="36" spans="1:12" s="187" customFormat="1" ht="42.75">
      <c r="A36" s="238"/>
      <c r="B36" s="238"/>
      <c r="C36" s="238"/>
      <c r="D36" s="238"/>
      <c r="E36" s="204" t="s">
        <v>1230</v>
      </c>
      <c r="F36" s="190" t="s">
        <v>1305</v>
      </c>
      <c r="G36" s="207">
        <v>32.56</v>
      </c>
      <c r="H36" s="207">
        <f t="shared" si="2"/>
        <v>42.328000000000003</v>
      </c>
      <c r="I36" s="207">
        <f t="shared" si="3"/>
        <v>47.212000000000003</v>
      </c>
      <c r="J36" s="279">
        <v>0.21</v>
      </c>
    </row>
    <row r="37" spans="1:12" s="187" customFormat="1" ht="42.75">
      <c r="A37" s="238"/>
      <c r="B37" s="238"/>
      <c r="C37" s="238"/>
      <c r="D37" s="238"/>
      <c r="E37" s="204" t="s">
        <v>1231</v>
      </c>
      <c r="F37" s="190" t="s">
        <v>1306</v>
      </c>
      <c r="G37" s="207">
        <v>16.55</v>
      </c>
      <c r="H37" s="207">
        <f t="shared" si="2"/>
        <v>21.515000000000001</v>
      </c>
      <c r="I37" s="207">
        <f t="shared" si="3"/>
        <v>23.997499999999999</v>
      </c>
      <c r="J37" s="279">
        <v>0.21</v>
      </c>
    </row>
    <row r="38" spans="1:12" s="187" customFormat="1" ht="42.75">
      <c r="A38" s="238"/>
      <c r="B38" s="238"/>
      <c r="C38" s="238"/>
      <c r="D38" s="238"/>
      <c r="E38" s="204" t="s">
        <v>1232</v>
      </c>
      <c r="F38" s="190" t="s">
        <v>1307</v>
      </c>
      <c r="G38" s="207">
        <v>12.15</v>
      </c>
      <c r="H38" s="207">
        <f t="shared" si="2"/>
        <v>15.795000000000002</v>
      </c>
      <c r="I38" s="207">
        <f t="shared" si="3"/>
        <v>17.6175</v>
      </c>
      <c r="J38" s="279">
        <v>0.21</v>
      </c>
      <c r="K38" s="208"/>
      <c r="L38" s="208"/>
    </row>
    <row r="39" spans="1:12" s="187" customFormat="1" ht="42.75">
      <c r="A39" s="238"/>
      <c r="B39" s="238"/>
      <c r="C39" s="238"/>
      <c r="D39" s="238"/>
      <c r="E39" s="204" t="s">
        <v>1233</v>
      </c>
      <c r="F39" s="190" t="s">
        <v>1308</v>
      </c>
      <c r="G39" s="207">
        <v>28.93</v>
      </c>
      <c r="H39" s="207">
        <f t="shared" si="2"/>
        <v>37.609000000000002</v>
      </c>
      <c r="I39" s="207">
        <f t="shared" si="3"/>
        <v>41.948499999999996</v>
      </c>
      <c r="J39" s="279">
        <v>0.21</v>
      </c>
      <c r="K39" s="208"/>
      <c r="L39" s="208"/>
    </row>
    <row r="40" spans="1:12" s="187" customFormat="1" ht="42.75">
      <c r="A40" s="238"/>
      <c r="B40" s="238"/>
      <c r="C40" s="238"/>
      <c r="D40" s="238"/>
      <c r="E40" s="204" t="s">
        <v>1234</v>
      </c>
      <c r="F40" s="190" t="s">
        <v>1309</v>
      </c>
      <c r="G40" s="207">
        <v>21.11</v>
      </c>
      <c r="H40" s="207">
        <f t="shared" si="2"/>
        <v>27.443000000000001</v>
      </c>
      <c r="I40" s="207">
        <f t="shared" si="3"/>
        <v>30.609499999999997</v>
      </c>
      <c r="J40" s="279">
        <v>0.21</v>
      </c>
      <c r="K40" s="208"/>
      <c r="L40" s="208"/>
    </row>
    <row r="41" spans="1:12" s="187" customFormat="1" ht="42.75">
      <c r="A41" s="238"/>
      <c r="B41" s="238"/>
      <c r="C41" s="238"/>
      <c r="D41" s="238"/>
      <c r="E41" s="204" t="s">
        <v>1235</v>
      </c>
      <c r="F41" s="190" t="s">
        <v>1310</v>
      </c>
      <c r="G41" s="207">
        <v>15.47</v>
      </c>
      <c r="H41" s="207">
        <f t="shared" si="2"/>
        <v>20.111000000000001</v>
      </c>
      <c r="I41" s="207">
        <f t="shared" si="3"/>
        <v>22.4315</v>
      </c>
      <c r="J41" s="279">
        <v>0.21</v>
      </c>
      <c r="K41" s="208"/>
      <c r="L41" s="208"/>
    </row>
    <row r="42" spans="1:12" s="187" customFormat="1" ht="42.75">
      <c r="A42" s="238"/>
      <c r="B42" s="238"/>
      <c r="C42" s="238"/>
      <c r="D42" s="238"/>
      <c r="E42" s="204" t="s">
        <v>1236</v>
      </c>
      <c r="F42" s="190" t="s">
        <v>1311</v>
      </c>
      <c r="G42" s="207">
        <v>20.239999999999998</v>
      </c>
      <c r="H42" s="207">
        <f t="shared" si="2"/>
        <v>26.311999999999998</v>
      </c>
      <c r="I42" s="207">
        <f t="shared" si="3"/>
        <v>29.347999999999995</v>
      </c>
      <c r="J42" s="279">
        <v>0.21</v>
      </c>
      <c r="K42" s="208"/>
      <c r="L42" s="208"/>
    </row>
    <row r="43" spans="1:12" s="187" customFormat="1" ht="42.75">
      <c r="A43" s="238"/>
      <c r="B43" s="238"/>
      <c r="C43" s="238"/>
      <c r="D43" s="238"/>
      <c r="E43" s="204" t="s">
        <v>1237</v>
      </c>
      <c r="F43" s="190" t="s">
        <v>1312</v>
      </c>
      <c r="G43" s="207">
        <v>39.14</v>
      </c>
      <c r="H43" s="207">
        <f t="shared" si="2"/>
        <v>50.882000000000005</v>
      </c>
      <c r="I43" s="207">
        <f t="shared" si="3"/>
        <v>56.753</v>
      </c>
      <c r="J43" s="279">
        <v>0.21</v>
      </c>
      <c r="K43" s="208"/>
      <c r="L43" s="208"/>
    </row>
    <row r="44" spans="1:12" s="187" customFormat="1" ht="42.75">
      <c r="A44" s="238"/>
      <c r="B44" s="238"/>
      <c r="C44" s="238"/>
      <c r="D44" s="238"/>
      <c r="E44" s="204" t="s">
        <v>1238</v>
      </c>
      <c r="F44" s="190" t="s">
        <v>1313</v>
      </c>
      <c r="G44" s="207">
        <v>13.73</v>
      </c>
      <c r="H44" s="207">
        <f t="shared" si="2"/>
        <v>17.849</v>
      </c>
      <c r="I44" s="207">
        <f t="shared" si="3"/>
        <v>19.9085</v>
      </c>
      <c r="J44" s="279">
        <v>0.21</v>
      </c>
      <c r="K44" s="208"/>
      <c r="L44" s="208"/>
    </row>
    <row r="45" spans="1:12" s="187" customFormat="1" ht="42.75">
      <c r="A45" s="238"/>
      <c r="B45" s="238"/>
      <c r="C45" s="238"/>
      <c r="D45" s="238"/>
      <c r="E45" s="204" t="s">
        <v>1239</v>
      </c>
      <c r="F45" s="190" t="s">
        <v>1314</v>
      </c>
      <c r="G45" s="207">
        <v>18.54</v>
      </c>
      <c r="H45" s="207">
        <f t="shared" si="2"/>
        <v>24.102</v>
      </c>
      <c r="I45" s="207">
        <f t="shared" si="3"/>
        <v>26.882999999999999</v>
      </c>
      <c r="J45" s="279">
        <v>0.21</v>
      </c>
      <c r="K45" s="208"/>
      <c r="L45" s="208"/>
    </row>
    <row r="46" spans="1:12" s="187" customFormat="1" ht="42.75">
      <c r="A46" s="238"/>
      <c r="B46" s="238"/>
      <c r="C46" s="238"/>
      <c r="D46" s="238"/>
      <c r="E46" s="204" t="s">
        <v>1240</v>
      </c>
      <c r="F46" s="190" t="s">
        <v>1315</v>
      </c>
      <c r="G46" s="207">
        <v>40.090000000000003</v>
      </c>
      <c r="H46" s="207">
        <f t="shared" si="2"/>
        <v>52.117000000000004</v>
      </c>
      <c r="I46" s="207">
        <f t="shared" si="3"/>
        <v>58.130500000000005</v>
      </c>
      <c r="J46" s="279">
        <v>0.21</v>
      </c>
      <c r="K46" s="208"/>
      <c r="L46" s="208"/>
    </row>
    <row r="47" spans="1:12" s="187" customFormat="1" ht="42.75">
      <c r="A47" s="236"/>
      <c r="B47" s="236"/>
      <c r="C47" s="236"/>
      <c r="D47" s="236"/>
      <c r="E47" s="204" t="s">
        <v>1241</v>
      </c>
      <c r="F47" s="190" t="s">
        <v>1316</v>
      </c>
      <c r="G47" s="207">
        <v>48.11</v>
      </c>
      <c r="H47" s="207">
        <f t="shared" si="2"/>
        <v>62.542999999999999</v>
      </c>
      <c r="I47" s="207">
        <f t="shared" si="3"/>
        <v>69.759500000000003</v>
      </c>
      <c r="J47" s="279">
        <v>0.21</v>
      </c>
      <c r="K47" s="208"/>
      <c r="L47" s="208"/>
    </row>
    <row r="48" spans="1:12" s="187" customFormat="1" ht="42.75">
      <c r="A48" s="235">
        <v>12</v>
      </c>
      <c r="B48" s="235" t="s">
        <v>235</v>
      </c>
      <c r="C48" s="235" t="s">
        <v>588</v>
      </c>
      <c r="D48" s="240" t="s">
        <v>589</v>
      </c>
      <c r="E48" s="209" t="s">
        <v>1242</v>
      </c>
      <c r="F48" s="190" t="s">
        <v>1317</v>
      </c>
      <c r="G48" s="207">
        <v>11.18</v>
      </c>
      <c r="H48" s="207">
        <f t="shared" si="2"/>
        <v>14.534000000000001</v>
      </c>
      <c r="I48" s="207">
        <f t="shared" si="3"/>
        <v>16.210999999999999</v>
      </c>
      <c r="J48" s="279">
        <v>0.21</v>
      </c>
      <c r="K48" s="208"/>
      <c r="L48" s="208"/>
    </row>
    <row r="49" spans="1:12" s="187" customFormat="1" ht="42.75">
      <c r="A49" s="238"/>
      <c r="B49" s="238"/>
      <c r="C49" s="238"/>
      <c r="D49" s="238"/>
      <c r="E49" s="209" t="s">
        <v>1243</v>
      </c>
      <c r="F49" s="190" t="s">
        <v>1318</v>
      </c>
      <c r="G49" s="207">
        <v>13.63</v>
      </c>
      <c r="H49" s="207">
        <f t="shared" si="2"/>
        <v>17.719000000000001</v>
      </c>
      <c r="I49" s="207">
        <f t="shared" si="3"/>
        <v>19.763500000000001</v>
      </c>
      <c r="J49" s="279">
        <v>0.21</v>
      </c>
      <c r="K49" s="208"/>
      <c r="L49" s="208"/>
    </row>
    <row r="50" spans="1:12" s="187" customFormat="1" ht="42.75">
      <c r="A50" s="238"/>
      <c r="B50" s="238"/>
      <c r="C50" s="238"/>
      <c r="D50" s="238"/>
      <c r="E50" s="209" t="s">
        <v>1244</v>
      </c>
      <c r="F50" s="190" t="s">
        <v>1319</v>
      </c>
      <c r="G50" s="207">
        <v>12.77</v>
      </c>
      <c r="H50" s="207">
        <f t="shared" si="2"/>
        <v>16.600999999999999</v>
      </c>
      <c r="I50" s="207">
        <f t="shared" si="3"/>
        <v>18.516499999999997</v>
      </c>
      <c r="J50" s="279">
        <v>0.21</v>
      </c>
      <c r="K50" s="208"/>
      <c r="L50" s="208"/>
    </row>
    <row r="51" spans="1:12" s="187" customFormat="1" ht="42.75">
      <c r="A51" s="238"/>
      <c r="B51" s="238"/>
      <c r="C51" s="238"/>
      <c r="D51" s="238"/>
      <c r="E51" s="209" t="s">
        <v>1245</v>
      </c>
      <c r="F51" s="190" t="s">
        <v>1320</v>
      </c>
      <c r="G51" s="207">
        <v>15.3</v>
      </c>
      <c r="H51" s="207">
        <f t="shared" si="2"/>
        <v>19.89</v>
      </c>
      <c r="I51" s="207">
        <f t="shared" si="3"/>
        <v>22.184999999999999</v>
      </c>
      <c r="J51" s="279">
        <v>0.21</v>
      </c>
      <c r="K51" s="208"/>
      <c r="L51" s="208"/>
    </row>
    <row r="52" spans="1:12" s="187" customFormat="1" ht="42.75">
      <c r="A52" s="238"/>
      <c r="B52" s="238"/>
      <c r="C52" s="238"/>
      <c r="D52" s="238"/>
      <c r="E52" s="209" t="s">
        <v>1246</v>
      </c>
      <c r="F52" s="190" t="s">
        <v>1321</v>
      </c>
      <c r="G52" s="207">
        <v>14.87</v>
      </c>
      <c r="H52" s="207">
        <f t="shared" si="2"/>
        <v>19.331</v>
      </c>
      <c r="I52" s="207">
        <f t="shared" si="3"/>
        <v>21.561499999999999</v>
      </c>
      <c r="J52" s="279">
        <v>0.21</v>
      </c>
      <c r="K52" s="208"/>
      <c r="L52" s="208"/>
    </row>
    <row r="53" spans="1:12" s="187" customFormat="1" ht="42.75">
      <c r="A53" s="238"/>
      <c r="B53" s="238"/>
      <c r="C53" s="238"/>
      <c r="D53" s="238"/>
      <c r="E53" s="209" t="s">
        <v>1247</v>
      </c>
      <c r="F53" s="190" t="s">
        <v>1322</v>
      </c>
      <c r="G53" s="207">
        <v>19.41</v>
      </c>
      <c r="H53" s="207">
        <f t="shared" si="2"/>
        <v>25.233000000000001</v>
      </c>
      <c r="I53" s="207">
        <f t="shared" si="3"/>
        <v>28.144500000000001</v>
      </c>
      <c r="J53" s="279">
        <v>0.21</v>
      </c>
      <c r="K53" s="208"/>
      <c r="L53" s="208"/>
    </row>
    <row r="54" spans="1:12" s="187" customFormat="1" ht="42.75">
      <c r="A54" s="238"/>
      <c r="B54" s="238"/>
      <c r="C54" s="238"/>
      <c r="D54" s="238"/>
      <c r="E54" s="209" t="s">
        <v>1248</v>
      </c>
      <c r="F54" s="190" t="s">
        <v>1323</v>
      </c>
      <c r="G54" s="207">
        <v>14.17</v>
      </c>
      <c r="H54" s="207">
        <f t="shared" si="2"/>
        <v>18.420999999999999</v>
      </c>
      <c r="I54" s="207">
        <f t="shared" si="3"/>
        <v>20.546499999999998</v>
      </c>
      <c r="J54" s="279">
        <v>0.21</v>
      </c>
      <c r="K54" s="208"/>
      <c r="L54" s="208"/>
    </row>
    <row r="55" spans="1:12" s="187" customFormat="1" ht="42.75">
      <c r="A55" s="238"/>
      <c r="B55" s="238"/>
      <c r="C55" s="238"/>
      <c r="D55" s="238"/>
      <c r="E55" s="209" t="s">
        <v>1249</v>
      </c>
      <c r="F55" s="190" t="s">
        <v>1324</v>
      </c>
      <c r="G55" s="207">
        <v>16.53</v>
      </c>
      <c r="H55" s="207">
        <f t="shared" si="2"/>
        <v>21.489000000000001</v>
      </c>
      <c r="I55" s="207">
        <f t="shared" si="3"/>
        <v>23.968500000000002</v>
      </c>
      <c r="J55" s="279">
        <v>0.21</v>
      </c>
      <c r="K55" s="208"/>
      <c r="L55" s="208"/>
    </row>
    <row r="56" spans="1:12" s="187" customFormat="1" ht="42.75">
      <c r="A56" s="238"/>
      <c r="B56" s="238"/>
      <c r="C56" s="238"/>
      <c r="D56" s="238"/>
      <c r="E56" s="209" t="s">
        <v>1250</v>
      </c>
      <c r="F56" s="190" t="s">
        <v>1325</v>
      </c>
      <c r="G56" s="207">
        <v>10.99</v>
      </c>
      <c r="H56" s="207">
        <f t="shared" si="2"/>
        <v>14.287000000000001</v>
      </c>
      <c r="I56" s="207">
        <f t="shared" si="3"/>
        <v>15.935499999999999</v>
      </c>
      <c r="J56" s="279">
        <v>0.21</v>
      </c>
      <c r="K56" s="208"/>
      <c r="L56" s="208"/>
    </row>
    <row r="57" spans="1:12" s="187" customFormat="1" ht="42.75">
      <c r="A57" s="236"/>
      <c r="B57" s="236"/>
      <c r="C57" s="236"/>
      <c r="D57" s="236"/>
      <c r="E57" s="209" t="s">
        <v>1251</v>
      </c>
      <c r="F57" s="190" t="s">
        <v>1326</v>
      </c>
      <c r="G57" s="207">
        <v>9.18</v>
      </c>
      <c r="H57" s="207">
        <f t="shared" si="2"/>
        <v>11.933999999999999</v>
      </c>
      <c r="I57" s="207">
        <f t="shared" si="3"/>
        <v>13.311</v>
      </c>
      <c r="J57" s="279">
        <v>0.21</v>
      </c>
      <c r="K57" s="208"/>
      <c r="L57" s="208"/>
    </row>
    <row r="58" spans="1:12" s="187" customFormat="1" ht="42.75">
      <c r="A58" s="235">
        <v>13</v>
      </c>
      <c r="B58" s="235" t="s">
        <v>1252</v>
      </c>
      <c r="C58" s="235" t="s">
        <v>1221</v>
      </c>
      <c r="D58" s="235" t="s">
        <v>1253</v>
      </c>
      <c r="E58" s="209" t="s">
        <v>1254</v>
      </c>
      <c r="F58" s="190" t="s">
        <v>1327</v>
      </c>
      <c r="G58" s="207">
        <v>11.18</v>
      </c>
      <c r="H58" s="207">
        <f t="shared" si="2"/>
        <v>14.534000000000001</v>
      </c>
      <c r="I58" s="207">
        <f t="shared" si="3"/>
        <v>16.210999999999999</v>
      </c>
      <c r="J58" s="279">
        <v>0.21</v>
      </c>
      <c r="L58" s="208"/>
    </row>
    <row r="59" spans="1:12" s="187" customFormat="1" ht="42.75">
      <c r="A59" s="238"/>
      <c r="B59" s="238"/>
      <c r="C59" s="238"/>
      <c r="D59" s="238"/>
      <c r="E59" s="209" t="s">
        <v>1255</v>
      </c>
      <c r="F59" s="190" t="s">
        <v>1328</v>
      </c>
      <c r="G59" s="207">
        <v>12.94</v>
      </c>
      <c r="H59" s="207">
        <f t="shared" si="2"/>
        <v>16.821999999999999</v>
      </c>
      <c r="I59" s="207">
        <f t="shared" si="3"/>
        <v>18.762999999999998</v>
      </c>
      <c r="J59" s="279">
        <v>0.21</v>
      </c>
      <c r="L59" s="208"/>
    </row>
    <row r="60" spans="1:12" s="187" customFormat="1" ht="42.75">
      <c r="A60" s="238"/>
      <c r="B60" s="238"/>
      <c r="C60" s="238"/>
      <c r="D60" s="238"/>
      <c r="E60" s="209" t="s">
        <v>1256</v>
      </c>
      <c r="F60" s="190" t="s">
        <v>1329</v>
      </c>
      <c r="G60" s="207">
        <v>12.04</v>
      </c>
      <c r="H60" s="207">
        <f t="shared" si="2"/>
        <v>15.651999999999999</v>
      </c>
      <c r="I60" s="207">
        <f t="shared" si="3"/>
        <v>17.457999999999998</v>
      </c>
      <c r="J60" s="279">
        <v>0.21</v>
      </c>
      <c r="L60" s="208"/>
    </row>
    <row r="61" spans="1:12" s="187" customFormat="1" ht="42.75">
      <c r="A61" s="238"/>
      <c r="B61" s="238"/>
      <c r="C61" s="238"/>
      <c r="D61" s="238"/>
      <c r="E61" s="209" t="s">
        <v>1257</v>
      </c>
      <c r="F61" s="190" t="s">
        <v>1330</v>
      </c>
      <c r="G61" s="207">
        <v>25.55</v>
      </c>
      <c r="H61" s="207">
        <f t="shared" si="2"/>
        <v>33.215000000000003</v>
      </c>
      <c r="I61" s="207">
        <f t="shared" si="3"/>
        <v>37.047499999999999</v>
      </c>
      <c r="J61" s="279">
        <v>0.21</v>
      </c>
      <c r="L61" s="208"/>
    </row>
    <row r="62" spans="1:12" s="187" customFormat="1" ht="42.75">
      <c r="A62" s="238"/>
      <c r="B62" s="238"/>
      <c r="C62" s="238"/>
      <c r="D62" s="238"/>
      <c r="E62" s="209" t="s">
        <v>1258</v>
      </c>
      <c r="F62" s="190" t="s">
        <v>1331</v>
      </c>
      <c r="G62" s="207">
        <v>16.48</v>
      </c>
      <c r="H62" s="207">
        <f t="shared" si="2"/>
        <v>21.424000000000003</v>
      </c>
      <c r="I62" s="207">
        <f t="shared" si="3"/>
        <v>23.896000000000001</v>
      </c>
      <c r="J62" s="279">
        <v>0.21</v>
      </c>
      <c r="L62" s="208"/>
    </row>
    <row r="63" spans="1:12" s="187" customFormat="1" ht="42.75">
      <c r="A63" s="238"/>
      <c r="B63" s="238"/>
      <c r="C63" s="238"/>
      <c r="D63" s="238"/>
      <c r="E63" s="209" t="s">
        <v>1259</v>
      </c>
      <c r="F63" s="190" t="s">
        <v>1332</v>
      </c>
      <c r="G63" s="207">
        <v>11.59</v>
      </c>
      <c r="H63" s="207">
        <f t="shared" si="2"/>
        <v>15.067</v>
      </c>
      <c r="I63" s="207">
        <f t="shared" si="3"/>
        <v>16.805499999999999</v>
      </c>
      <c r="J63" s="279">
        <v>0.21</v>
      </c>
      <c r="L63" s="208"/>
    </row>
    <row r="64" spans="1:12" s="187" customFormat="1" ht="42.75">
      <c r="A64" s="236"/>
      <c r="B64" s="236"/>
      <c r="C64" s="236"/>
      <c r="D64" s="236"/>
      <c r="E64" s="209" t="s">
        <v>1260</v>
      </c>
      <c r="F64" s="190" t="s">
        <v>1333</v>
      </c>
      <c r="G64" s="207">
        <v>17.36</v>
      </c>
      <c r="H64" s="207">
        <f t="shared" si="2"/>
        <v>22.568000000000001</v>
      </c>
      <c r="I64" s="207">
        <f t="shared" si="3"/>
        <v>25.171999999999997</v>
      </c>
      <c r="J64" s="279">
        <v>0.21</v>
      </c>
    </row>
    <row r="65" spans="1:10" s="187" customFormat="1" ht="42.75">
      <c r="A65" s="204">
        <v>14</v>
      </c>
      <c r="B65" s="204" t="s">
        <v>236</v>
      </c>
      <c r="C65" s="204" t="s">
        <v>590</v>
      </c>
      <c r="D65" s="204" t="s">
        <v>591</v>
      </c>
      <c r="E65" s="209" t="s">
        <v>591</v>
      </c>
      <c r="F65" s="190" t="s">
        <v>1334</v>
      </c>
      <c r="G65" s="207">
        <v>16.13</v>
      </c>
      <c r="H65" s="207">
        <f t="shared" si="2"/>
        <v>20.969000000000001</v>
      </c>
      <c r="I65" s="207">
        <f t="shared" si="3"/>
        <v>23.388499999999997</v>
      </c>
      <c r="J65" s="279">
        <v>0.21</v>
      </c>
    </row>
    <row r="66" spans="1:10" s="187" customFormat="1" ht="42.75">
      <c r="A66" s="204">
        <v>15</v>
      </c>
      <c r="B66" s="204" t="s">
        <v>237</v>
      </c>
      <c r="C66" s="204" t="s">
        <v>590</v>
      </c>
      <c r="D66" s="204" t="s">
        <v>592</v>
      </c>
      <c r="E66" s="204" t="s">
        <v>592</v>
      </c>
      <c r="F66" s="190" t="s">
        <v>1335</v>
      </c>
      <c r="G66" s="207">
        <v>36.67</v>
      </c>
      <c r="H66" s="207">
        <f t="shared" si="2"/>
        <v>47.671000000000006</v>
      </c>
      <c r="I66" s="207">
        <f t="shared" si="3"/>
        <v>53.171500000000002</v>
      </c>
      <c r="J66" s="279">
        <v>0.21</v>
      </c>
    </row>
    <row r="67" spans="1:10" s="187" customFormat="1" ht="42.75">
      <c r="A67" s="237">
        <v>16</v>
      </c>
      <c r="B67" s="237" t="s">
        <v>238</v>
      </c>
      <c r="C67" s="237" t="s">
        <v>593</v>
      </c>
      <c r="D67" s="237" t="s">
        <v>594</v>
      </c>
      <c r="E67" s="199" t="s">
        <v>1261</v>
      </c>
      <c r="F67" s="190" t="s">
        <v>1336</v>
      </c>
      <c r="G67" s="191">
        <v>20.77</v>
      </c>
      <c r="H67" s="191">
        <f t="shared" ref="H67:H73" si="4">G67*1.2</f>
        <v>24.923999999999999</v>
      </c>
      <c r="I67" s="191">
        <f t="shared" ref="I67:I73" si="5">G67*1.35</f>
        <v>28.0395</v>
      </c>
      <c r="J67" s="279">
        <v>0.21</v>
      </c>
    </row>
    <row r="68" spans="1:10" s="187" customFormat="1" ht="42.75">
      <c r="A68" s="236"/>
      <c r="B68" s="236"/>
      <c r="C68" s="236"/>
      <c r="D68" s="236"/>
      <c r="E68" s="199" t="s">
        <v>1262</v>
      </c>
      <c r="F68" s="190" t="s">
        <v>1337</v>
      </c>
      <c r="G68" s="200">
        <v>28.8</v>
      </c>
      <c r="H68" s="191">
        <f t="shared" si="4"/>
        <v>34.56</v>
      </c>
      <c r="I68" s="191">
        <f t="shared" si="5"/>
        <v>38.880000000000003</v>
      </c>
      <c r="J68" s="279">
        <v>0.21</v>
      </c>
    </row>
    <row r="69" spans="1:10" s="187" customFormat="1" ht="42.75">
      <c r="A69" s="237">
        <v>17</v>
      </c>
      <c r="B69" s="237" t="s">
        <v>239</v>
      </c>
      <c r="C69" s="237" t="s">
        <v>595</v>
      </c>
      <c r="D69" s="237" t="s">
        <v>596</v>
      </c>
      <c r="E69" s="199" t="s">
        <v>1263</v>
      </c>
      <c r="F69" s="190" t="s">
        <v>1338</v>
      </c>
      <c r="G69" s="200">
        <v>12.17</v>
      </c>
      <c r="H69" s="191">
        <f t="shared" si="4"/>
        <v>14.603999999999999</v>
      </c>
      <c r="I69" s="191">
        <f t="shared" si="5"/>
        <v>16.429500000000001</v>
      </c>
      <c r="J69" s="279">
        <v>0.21</v>
      </c>
    </row>
    <row r="70" spans="1:10" s="187" customFormat="1" ht="42.75">
      <c r="A70" s="236"/>
      <c r="B70" s="236"/>
      <c r="C70" s="236"/>
      <c r="D70" s="236"/>
      <c r="E70" s="199" t="s">
        <v>1264</v>
      </c>
      <c r="F70" s="190" t="s">
        <v>1339</v>
      </c>
      <c r="G70" s="200">
        <v>12.38</v>
      </c>
      <c r="H70" s="191">
        <f t="shared" si="4"/>
        <v>14.856</v>
      </c>
      <c r="I70" s="191">
        <f t="shared" si="5"/>
        <v>16.713000000000001</v>
      </c>
      <c r="J70" s="279">
        <v>0.21</v>
      </c>
    </row>
    <row r="71" spans="1:10" s="187" customFormat="1" ht="42.75">
      <c r="A71" s="237">
        <v>18</v>
      </c>
      <c r="B71" s="237" t="s">
        <v>240</v>
      </c>
      <c r="C71" s="237" t="s">
        <v>597</v>
      </c>
      <c r="D71" s="237" t="s">
        <v>640</v>
      </c>
      <c r="E71" s="199" t="s">
        <v>1265</v>
      </c>
      <c r="F71" s="190" t="s">
        <v>1340</v>
      </c>
      <c r="G71" s="200">
        <v>10.85</v>
      </c>
      <c r="H71" s="191">
        <f t="shared" si="4"/>
        <v>13.02</v>
      </c>
      <c r="I71" s="191">
        <f t="shared" si="5"/>
        <v>14.647500000000001</v>
      </c>
      <c r="J71" s="279">
        <v>0.21</v>
      </c>
    </row>
    <row r="72" spans="1:10" s="187" customFormat="1" ht="42.75">
      <c r="A72" s="238"/>
      <c r="B72" s="238"/>
      <c r="C72" s="238"/>
      <c r="D72" s="238"/>
      <c r="E72" s="199" t="s">
        <v>1266</v>
      </c>
      <c r="F72" s="190" t="s">
        <v>1341</v>
      </c>
      <c r="G72" s="200">
        <v>9.57</v>
      </c>
      <c r="H72" s="191">
        <f t="shared" si="4"/>
        <v>11.484</v>
      </c>
      <c r="I72" s="191">
        <f t="shared" si="5"/>
        <v>12.919500000000001</v>
      </c>
      <c r="J72" s="279">
        <v>0.21</v>
      </c>
    </row>
    <row r="73" spans="1:10" s="187" customFormat="1" ht="42.75">
      <c r="A73" s="236"/>
      <c r="B73" s="236"/>
      <c r="C73" s="236"/>
      <c r="D73" s="236"/>
      <c r="E73" s="199" t="s">
        <v>1267</v>
      </c>
      <c r="F73" s="190" t="s">
        <v>1342</v>
      </c>
      <c r="G73" s="200">
        <v>13.02</v>
      </c>
      <c r="H73" s="191">
        <f t="shared" si="4"/>
        <v>15.623999999999999</v>
      </c>
      <c r="I73" s="191">
        <f t="shared" si="5"/>
        <v>17.577000000000002</v>
      </c>
      <c r="J73" s="279">
        <v>0.21</v>
      </c>
    </row>
    <row r="74" spans="1:10" s="187" customFormat="1" ht="42.75">
      <c r="A74" s="239">
        <v>19</v>
      </c>
      <c r="B74" s="239" t="s">
        <v>638</v>
      </c>
      <c r="C74" s="239" t="s">
        <v>597</v>
      </c>
      <c r="D74" s="239" t="s">
        <v>641</v>
      </c>
      <c r="E74" s="210" t="s">
        <v>1268</v>
      </c>
      <c r="F74" s="190" t="s">
        <v>1343</v>
      </c>
      <c r="G74" s="211">
        <v>21.29</v>
      </c>
      <c r="H74" s="211">
        <f t="shared" ref="H74:H81" si="6">G74*1.3</f>
        <v>27.677</v>
      </c>
      <c r="I74" s="211">
        <f t="shared" ref="I74:I81" si="7">G74*1.45</f>
        <v>30.870499999999996</v>
      </c>
      <c r="J74" s="279">
        <v>0.21</v>
      </c>
    </row>
    <row r="75" spans="1:10" s="187" customFormat="1" ht="42.75">
      <c r="A75" s="238"/>
      <c r="B75" s="238"/>
      <c r="C75" s="238"/>
      <c r="D75" s="238"/>
      <c r="E75" s="210" t="s">
        <v>1269</v>
      </c>
      <c r="F75" s="190" t="s">
        <v>1344</v>
      </c>
      <c r="G75" s="211">
        <v>25.65</v>
      </c>
      <c r="H75" s="211">
        <f t="shared" si="6"/>
        <v>33.344999999999999</v>
      </c>
      <c r="I75" s="211">
        <f t="shared" si="7"/>
        <v>37.192499999999995</v>
      </c>
      <c r="J75" s="279">
        <v>0.21</v>
      </c>
    </row>
    <row r="76" spans="1:10" s="187" customFormat="1" ht="42.75">
      <c r="A76" s="238"/>
      <c r="B76" s="238"/>
      <c r="C76" s="238"/>
      <c r="D76" s="238"/>
      <c r="E76" s="210" t="s">
        <v>1270</v>
      </c>
      <c r="F76" s="190" t="s">
        <v>1345</v>
      </c>
      <c r="G76" s="211">
        <v>10.46</v>
      </c>
      <c r="H76" s="211">
        <f t="shared" si="6"/>
        <v>13.598000000000001</v>
      </c>
      <c r="I76" s="211">
        <f t="shared" si="7"/>
        <v>15.167000000000002</v>
      </c>
      <c r="J76" s="279">
        <v>0.21</v>
      </c>
    </row>
    <row r="77" spans="1:10" s="187" customFormat="1" ht="57.75" customHeight="1">
      <c r="A77" s="236"/>
      <c r="B77" s="236"/>
      <c r="C77" s="236"/>
      <c r="D77" s="236"/>
      <c r="E77" s="210" t="s">
        <v>1271</v>
      </c>
      <c r="F77" s="190" t="s">
        <v>1346</v>
      </c>
      <c r="G77" s="211">
        <v>23.5</v>
      </c>
      <c r="H77" s="211">
        <f t="shared" si="6"/>
        <v>30.55</v>
      </c>
      <c r="I77" s="211">
        <f t="shared" si="7"/>
        <v>34.074999999999996</v>
      </c>
      <c r="J77" s="279">
        <v>0.21</v>
      </c>
    </row>
    <row r="78" spans="1:10" s="187" customFormat="1" ht="42.75">
      <c r="A78" s="199">
        <v>20</v>
      </c>
      <c r="B78" s="199" t="s">
        <v>639</v>
      </c>
      <c r="C78" s="199" t="s">
        <v>1272</v>
      </c>
      <c r="D78" s="199" t="s">
        <v>642</v>
      </c>
      <c r="E78" s="212" t="s">
        <v>642</v>
      </c>
      <c r="F78" s="190" t="s">
        <v>1347</v>
      </c>
      <c r="G78" s="200">
        <v>11.64</v>
      </c>
      <c r="H78" s="200">
        <f t="shared" si="6"/>
        <v>15.132000000000001</v>
      </c>
      <c r="I78" s="200">
        <f t="shared" si="7"/>
        <v>16.878</v>
      </c>
      <c r="J78" s="279">
        <v>0.21</v>
      </c>
    </row>
    <row r="79" spans="1:10" s="187" customFormat="1" ht="48.75" customHeight="1">
      <c r="A79" s="204">
        <v>22</v>
      </c>
      <c r="B79" s="204" t="s">
        <v>241</v>
      </c>
      <c r="C79" s="204" t="s">
        <v>598</v>
      </c>
      <c r="D79" s="204" t="s">
        <v>599</v>
      </c>
      <c r="E79" s="204" t="s">
        <v>599</v>
      </c>
      <c r="F79" s="190" t="s">
        <v>1348</v>
      </c>
      <c r="G79" s="207">
        <v>14.87</v>
      </c>
      <c r="H79" s="207">
        <f t="shared" si="6"/>
        <v>19.331</v>
      </c>
      <c r="I79" s="207">
        <f t="shared" si="7"/>
        <v>21.561499999999999</v>
      </c>
      <c r="J79" s="279">
        <v>0.21</v>
      </c>
    </row>
    <row r="80" spans="1:10" s="187" customFormat="1" ht="42.75">
      <c r="A80" s="235">
        <v>23</v>
      </c>
      <c r="B80" s="235" t="s">
        <v>242</v>
      </c>
      <c r="C80" s="235" t="s">
        <v>600</v>
      </c>
      <c r="D80" s="235" t="s">
        <v>601</v>
      </c>
      <c r="E80" s="204" t="s">
        <v>1273</v>
      </c>
      <c r="F80" s="190" t="s">
        <v>1349</v>
      </c>
      <c r="G80" s="207">
        <v>15.72</v>
      </c>
      <c r="H80" s="207">
        <f t="shared" si="6"/>
        <v>20.436</v>
      </c>
      <c r="I80" s="207">
        <f t="shared" si="7"/>
        <v>22.794</v>
      </c>
      <c r="J80" s="279">
        <v>0.21</v>
      </c>
    </row>
    <row r="81" spans="1:10" s="187" customFormat="1" ht="42.75">
      <c r="A81" s="236"/>
      <c r="B81" s="236"/>
      <c r="C81" s="236"/>
      <c r="D81" s="236"/>
      <c r="E81" s="204" t="s">
        <v>601</v>
      </c>
      <c r="F81" s="190" t="s">
        <v>1350</v>
      </c>
      <c r="G81" s="207">
        <v>16.29</v>
      </c>
      <c r="H81" s="207">
        <f t="shared" si="6"/>
        <v>21.177</v>
      </c>
      <c r="I81" s="207">
        <f t="shared" si="7"/>
        <v>23.620499999999996</v>
      </c>
      <c r="J81" s="279">
        <v>0.21</v>
      </c>
    </row>
  </sheetData>
  <mergeCells count="55">
    <mergeCell ref="A7:G7"/>
    <mergeCell ref="A9:A10"/>
    <mergeCell ref="B9:B10"/>
    <mergeCell ref="C9:C10"/>
    <mergeCell ref="D9:D10"/>
    <mergeCell ref="A12:A15"/>
    <mergeCell ref="B12:B15"/>
    <mergeCell ref="C12:C15"/>
    <mergeCell ref="D12:D15"/>
    <mergeCell ref="A17:A18"/>
    <mergeCell ref="B17:B18"/>
    <mergeCell ref="C17:C18"/>
    <mergeCell ref="D17:D18"/>
    <mergeCell ref="A20:A22"/>
    <mergeCell ref="B20:B22"/>
    <mergeCell ref="C20:C22"/>
    <mergeCell ref="D20:D22"/>
    <mergeCell ref="C24:C28"/>
    <mergeCell ref="D24:D28"/>
    <mergeCell ref="A29:A47"/>
    <mergeCell ref="B29:B47"/>
    <mergeCell ref="C29:C47"/>
    <mergeCell ref="D29:D47"/>
    <mergeCell ref="H7:I7"/>
    <mergeCell ref="A71:A73"/>
    <mergeCell ref="B71:B73"/>
    <mergeCell ref="C71:C73"/>
    <mergeCell ref="D71:D73"/>
    <mergeCell ref="A67:A68"/>
    <mergeCell ref="B67:B68"/>
    <mergeCell ref="C67:C68"/>
    <mergeCell ref="D67:D68"/>
    <mergeCell ref="A69:A70"/>
    <mergeCell ref="B69:B70"/>
    <mergeCell ref="C69:C70"/>
    <mergeCell ref="D69:D70"/>
    <mergeCell ref="A48:A57"/>
    <mergeCell ref="B48:B57"/>
    <mergeCell ref="C48:C57"/>
    <mergeCell ref="A80:A81"/>
    <mergeCell ref="B80:B81"/>
    <mergeCell ref="C80:C81"/>
    <mergeCell ref="D80:D81"/>
    <mergeCell ref="A6:G6"/>
    <mergeCell ref="A74:A77"/>
    <mergeCell ref="B74:B77"/>
    <mergeCell ref="C74:C77"/>
    <mergeCell ref="D74:D77"/>
    <mergeCell ref="D48:D57"/>
    <mergeCell ref="A58:A64"/>
    <mergeCell ref="B58:B64"/>
    <mergeCell ref="C58:C64"/>
    <mergeCell ref="D58:D64"/>
    <mergeCell ref="A24:A28"/>
    <mergeCell ref="B24:B28"/>
  </mergeCells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12"/>
  <sheetViews>
    <sheetView showGridLines="0" tabSelected="1" workbookViewId="0">
      <selection activeCell="J24" sqref="J24"/>
    </sheetView>
  </sheetViews>
  <sheetFormatPr defaultRowHeight="15"/>
  <cols>
    <col min="1" max="1" width="3.42578125" customWidth="1"/>
    <col min="2" max="2" width="6.140625" customWidth="1"/>
    <col min="3" max="3" width="14" customWidth="1"/>
    <col min="4" max="4" width="16" customWidth="1"/>
    <col min="5" max="5" width="21.140625" customWidth="1"/>
    <col min="6" max="6" width="8.5703125" customWidth="1"/>
    <col min="7" max="8" width="26.85546875" customWidth="1"/>
    <col min="11" max="11" width="9.85546875" customWidth="1"/>
    <col min="12" max="12" width="15" customWidth="1"/>
  </cols>
  <sheetData>
    <row r="1" spans="2:13">
      <c r="B1" s="61" t="s">
        <v>940</v>
      </c>
    </row>
    <row r="2" spans="2:13">
      <c r="B2" s="61" t="s">
        <v>941</v>
      </c>
    </row>
    <row r="3" spans="2:13">
      <c r="B3" s="61" t="s">
        <v>1043</v>
      </c>
    </row>
    <row r="4" spans="2:13">
      <c r="B4" s="61"/>
    </row>
    <row r="5" spans="2:13">
      <c r="B5" s="61"/>
    </row>
    <row r="6" spans="2:13" ht="14.45" customHeight="1">
      <c r="B6" s="221" t="s">
        <v>1275</v>
      </c>
      <c r="C6" s="222"/>
      <c r="D6" s="222"/>
      <c r="E6" s="222"/>
      <c r="F6" s="222"/>
      <c r="G6" s="222"/>
      <c r="H6" s="222"/>
      <c r="I6" s="222"/>
      <c r="J6" s="222"/>
      <c r="K6" s="222"/>
      <c r="L6" s="222"/>
      <c r="M6" s="223"/>
    </row>
    <row r="7" spans="2:13" ht="51">
      <c r="B7" s="10" t="s">
        <v>139</v>
      </c>
      <c r="C7" s="10" t="s">
        <v>0</v>
      </c>
      <c r="D7" s="10" t="s">
        <v>334</v>
      </c>
      <c r="E7" s="10" t="s">
        <v>4</v>
      </c>
      <c r="F7" s="10" t="s">
        <v>5</v>
      </c>
      <c r="G7" s="64" t="s">
        <v>680</v>
      </c>
      <c r="H7" s="17" t="s">
        <v>557</v>
      </c>
      <c r="I7" s="17" t="s">
        <v>340</v>
      </c>
      <c r="J7" s="17" t="s">
        <v>341</v>
      </c>
      <c r="K7" s="17" t="s">
        <v>339</v>
      </c>
      <c r="L7" s="17" t="s">
        <v>1156</v>
      </c>
      <c r="M7" s="188" t="s">
        <v>344</v>
      </c>
    </row>
    <row r="8" spans="2:13">
      <c r="B8" s="1">
        <v>1</v>
      </c>
      <c r="C8" s="94" t="s">
        <v>178</v>
      </c>
      <c r="D8" s="75">
        <v>8539</v>
      </c>
      <c r="E8" s="75" t="s">
        <v>528</v>
      </c>
      <c r="F8" s="1" t="s">
        <v>1</v>
      </c>
      <c r="G8" s="19" t="s">
        <v>183</v>
      </c>
      <c r="H8" s="244" t="s">
        <v>1060</v>
      </c>
      <c r="I8" s="95">
        <v>0.88390000000000002</v>
      </c>
      <c r="J8" s="95">
        <v>0.78259999999999996</v>
      </c>
      <c r="K8" s="95">
        <v>0.94469999999999998</v>
      </c>
      <c r="L8" s="189">
        <v>0.60029999999999994</v>
      </c>
      <c r="M8" s="96">
        <v>0.21</v>
      </c>
    </row>
    <row r="9" spans="2:13">
      <c r="B9" s="1">
        <f>B8+1</f>
        <v>2</v>
      </c>
      <c r="C9" s="94" t="s">
        <v>179</v>
      </c>
      <c r="D9" s="75">
        <v>8540</v>
      </c>
      <c r="E9" s="75" t="s">
        <v>1056</v>
      </c>
      <c r="F9" s="1" t="s">
        <v>1</v>
      </c>
      <c r="G9" s="19" t="s">
        <v>183</v>
      </c>
      <c r="H9" s="245"/>
      <c r="I9" s="95">
        <v>1.3815999999999999</v>
      </c>
      <c r="J9" s="95">
        <v>1.2536</v>
      </c>
      <c r="K9" s="95">
        <v>1.4584999999999999</v>
      </c>
      <c r="L9" s="189">
        <v>1.0230999999999999</v>
      </c>
      <c r="M9" s="96">
        <v>0.21</v>
      </c>
    </row>
    <row r="10" spans="2:13" ht="38.25">
      <c r="B10" s="1">
        <f>B9+1</f>
        <v>3</v>
      </c>
      <c r="C10" s="94" t="s">
        <v>180</v>
      </c>
      <c r="D10" s="75" t="s">
        <v>526</v>
      </c>
      <c r="E10" s="75" t="s">
        <v>1057</v>
      </c>
      <c r="F10" s="1" t="s">
        <v>1</v>
      </c>
      <c r="G10" s="19" t="s">
        <v>183</v>
      </c>
      <c r="H10" s="245"/>
      <c r="I10" s="95">
        <v>0.80269999999999997</v>
      </c>
      <c r="J10" s="95">
        <v>0.70579999999999998</v>
      </c>
      <c r="K10" s="95">
        <v>0.86080000000000001</v>
      </c>
      <c r="L10" s="189">
        <v>0.53129999999999999</v>
      </c>
      <c r="M10" s="96">
        <v>0.21</v>
      </c>
    </row>
    <row r="11" spans="2:13">
      <c r="B11" s="1">
        <f>B10+1</f>
        <v>4</v>
      </c>
      <c r="C11" s="94" t="s">
        <v>181</v>
      </c>
      <c r="D11" s="75" t="s">
        <v>527</v>
      </c>
      <c r="E11" s="75" t="s">
        <v>1058</v>
      </c>
      <c r="F11" s="1" t="s">
        <v>1</v>
      </c>
      <c r="G11" s="19" t="s">
        <v>183</v>
      </c>
      <c r="H11" s="245"/>
      <c r="I11" s="95">
        <v>1.3815999999999999</v>
      </c>
      <c r="J11" s="95">
        <v>1.2536</v>
      </c>
      <c r="K11" s="95">
        <v>1.4584999999999999</v>
      </c>
      <c r="L11" s="189">
        <v>1.0230999999999999</v>
      </c>
      <c r="M11" s="96">
        <v>0.21</v>
      </c>
    </row>
    <row r="12" spans="2:13" ht="41.25">
      <c r="B12" s="1">
        <f>B11+1</f>
        <v>5</v>
      </c>
      <c r="C12" s="94" t="s">
        <v>182</v>
      </c>
      <c r="D12" s="75" t="s">
        <v>1055</v>
      </c>
      <c r="E12" s="75" t="s">
        <v>1059</v>
      </c>
      <c r="F12" s="1" t="s">
        <v>1</v>
      </c>
      <c r="G12" s="19" t="s">
        <v>183</v>
      </c>
      <c r="H12" s="246"/>
      <c r="I12" s="95">
        <v>0.92669999999999997</v>
      </c>
      <c r="J12" s="95">
        <v>0.82320000000000004</v>
      </c>
      <c r="K12" s="95">
        <v>0.9889</v>
      </c>
      <c r="L12" s="189">
        <v>0.63670000000000004</v>
      </c>
      <c r="M12" s="96">
        <v>0.21</v>
      </c>
    </row>
  </sheetData>
  <mergeCells count="2">
    <mergeCell ref="B6:M6"/>
    <mergeCell ref="H8:H1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11"/>
  <sheetViews>
    <sheetView showGridLines="0" workbookViewId="0">
      <selection activeCell="M25" sqref="M25"/>
    </sheetView>
  </sheetViews>
  <sheetFormatPr defaultRowHeight="15"/>
  <cols>
    <col min="1" max="1" width="3.42578125" customWidth="1"/>
    <col min="2" max="2" width="6.140625" customWidth="1"/>
    <col min="3" max="3" width="14" customWidth="1"/>
    <col min="4" max="4" width="16" customWidth="1"/>
    <col min="5" max="5" width="21.140625" customWidth="1"/>
    <col min="6" max="6" width="8.5703125" customWidth="1"/>
    <col min="7" max="8" width="26.85546875" customWidth="1"/>
    <col min="11" max="11" width="9.85546875" customWidth="1"/>
    <col min="12" max="12" width="15" customWidth="1"/>
  </cols>
  <sheetData>
    <row r="1" spans="2:13">
      <c r="B1" s="61" t="s">
        <v>940</v>
      </c>
    </row>
    <row r="2" spans="2:13">
      <c r="B2" s="61" t="s">
        <v>941</v>
      </c>
    </row>
    <row r="3" spans="2:13">
      <c r="B3" s="61" t="s">
        <v>1043</v>
      </c>
    </row>
    <row r="4" spans="2:13">
      <c r="B4" s="61"/>
    </row>
    <row r="5" spans="2:13" ht="14.45" customHeight="1">
      <c r="B5" s="221" t="s">
        <v>177</v>
      </c>
      <c r="C5" s="222"/>
      <c r="D5" s="222"/>
      <c r="E5" s="222"/>
      <c r="F5" s="222"/>
      <c r="G5" s="222"/>
      <c r="H5" s="222"/>
      <c r="I5" s="222"/>
      <c r="J5" s="222"/>
      <c r="K5" s="222"/>
      <c r="L5" s="222"/>
      <c r="M5" s="223"/>
    </row>
    <row r="6" spans="2:13" ht="51">
      <c r="B6" s="10" t="s">
        <v>139</v>
      </c>
      <c r="C6" s="10" t="s">
        <v>0</v>
      </c>
      <c r="D6" s="10" t="s">
        <v>334</v>
      </c>
      <c r="E6" s="10" t="s">
        <v>4</v>
      </c>
      <c r="F6" s="10" t="s">
        <v>5</v>
      </c>
      <c r="G6" s="11" t="s">
        <v>680</v>
      </c>
      <c r="H6" s="17" t="s">
        <v>557</v>
      </c>
      <c r="I6" s="17" t="s">
        <v>340</v>
      </c>
      <c r="J6" s="17" t="s">
        <v>341</v>
      </c>
      <c r="K6" s="17" t="s">
        <v>339</v>
      </c>
      <c r="L6" s="17" t="s">
        <v>1156</v>
      </c>
      <c r="M6" s="36" t="s">
        <v>344</v>
      </c>
    </row>
    <row r="7" spans="2:13">
      <c r="B7" s="1">
        <v>1</v>
      </c>
      <c r="C7" s="94" t="s">
        <v>178</v>
      </c>
      <c r="D7" s="75">
        <v>8539</v>
      </c>
      <c r="E7" s="75" t="s">
        <v>528</v>
      </c>
      <c r="F7" s="1" t="s">
        <v>1</v>
      </c>
      <c r="G7" s="19" t="s">
        <v>183</v>
      </c>
      <c r="H7" s="244" t="s">
        <v>1060</v>
      </c>
      <c r="I7" s="95">
        <v>0.88390000000000002</v>
      </c>
      <c r="J7" s="95">
        <v>0.78259999999999996</v>
      </c>
      <c r="K7" s="95">
        <v>0.94469999999999998</v>
      </c>
      <c r="L7" s="12">
        <v>0.60029999999999994</v>
      </c>
      <c r="M7" s="96">
        <v>0.21</v>
      </c>
    </row>
    <row r="8" spans="2:13">
      <c r="B8" s="1">
        <f>B7+1</f>
        <v>2</v>
      </c>
      <c r="C8" s="94" t="s">
        <v>179</v>
      </c>
      <c r="D8" s="75">
        <v>8540</v>
      </c>
      <c r="E8" s="75" t="s">
        <v>1056</v>
      </c>
      <c r="F8" s="1" t="s">
        <v>1</v>
      </c>
      <c r="G8" s="19" t="s">
        <v>183</v>
      </c>
      <c r="H8" s="245"/>
      <c r="I8" s="95">
        <v>1.3815999999999999</v>
      </c>
      <c r="J8" s="95">
        <v>1.2536</v>
      </c>
      <c r="K8" s="95">
        <v>1.4584999999999999</v>
      </c>
      <c r="L8" s="12">
        <v>1.0230999999999999</v>
      </c>
      <c r="M8" s="96">
        <v>0.21</v>
      </c>
    </row>
    <row r="9" spans="2:13" ht="38.25">
      <c r="B9" s="1">
        <f>B8+1</f>
        <v>3</v>
      </c>
      <c r="C9" s="94" t="s">
        <v>180</v>
      </c>
      <c r="D9" s="75" t="s">
        <v>526</v>
      </c>
      <c r="E9" s="75" t="s">
        <v>1057</v>
      </c>
      <c r="F9" s="1" t="s">
        <v>1</v>
      </c>
      <c r="G9" s="19" t="s">
        <v>183</v>
      </c>
      <c r="H9" s="245"/>
      <c r="I9" s="95">
        <v>0.80269999999999997</v>
      </c>
      <c r="J9" s="95">
        <v>0.70579999999999998</v>
      </c>
      <c r="K9" s="95">
        <v>0.86080000000000001</v>
      </c>
      <c r="L9" s="12">
        <v>0.53129999999999999</v>
      </c>
      <c r="M9" s="96">
        <v>0.21</v>
      </c>
    </row>
    <row r="10" spans="2:13">
      <c r="B10" s="1">
        <f>B9+1</f>
        <v>4</v>
      </c>
      <c r="C10" s="94" t="s">
        <v>181</v>
      </c>
      <c r="D10" s="75" t="s">
        <v>527</v>
      </c>
      <c r="E10" s="75" t="s">
        <v>1058</v>
      </c>
      <c r="F10" s="1" t="s">
        <v>1</v>
      </c>
      <c r="G10" s="19" t="s">
        <v>183</v>
      </c>
      <c r="H10" s="245"/>
      <c r="I10" s="95">
        <v>1.3815999999999999</v>
      </c>
      <c r="J10" s="95">
        <v>1.2536</v>
      </c>
      <c r="K10" s="95">
        <v>1.4584999999999999</v>
      </c>
      <c r="L10" s="12">
        <v>1.0230999999999999</v>
      </c>
      <c r="M10" s="96">
        <v>0.21</v>
      </c>
    </row>
    <row r="11" spans="2:13" ht="41.25">
      <c r="B11" s="1">
        <f>B10+1</f>
        <v>5</v>
      </c>
      <c r="C11" s="94" t="s">
        <v>182</v>
      </c>
      <c r="D11" s="75" t="s">
        <v>1055</v>
      </c>
      <c r="E11" s="75" t="s">
        <v>1059</v>
      </c>
      <c r="F11" s="1" t="s">
        <v>1</v>
      </c>
      <c r="G11" s="19" t="s">
        <v>183</v>
      </c>
      <c r="H11" s="246"/>
      <c r="I11" s="95">
        <v>0.92669999999999997</v>
      </c>
      <c r="J11" s="95">
        <v>0.82320000000000004</v>
      </c>
      <c r="K11" s="95">
        <v>0.9889</v>
      </c>
      <c r="L11" s="12">
        <v>0.63670000000000004</v>
      </c>
      <c r="M11" s="96">
        <v>0.21</v>
      </c>
    </row>
  </sheetData>
  <mergeCells count="2">
    <mergeCell ref="B5:M5"/>
    <mergeCell ref="H7:H1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50"/>
  <sheetViews>
    <sheetView showGridLines="0" zoomScale="90" zoomScaleNormal="90" workbookViewId="0">
      <selection activeCell="P6" sqref="P6"/>
    </sheetView>
  </sheetViews>
  <sheetFormatPr defaultRowHeight="15"/>
  <cols>
    <col min="1" max="1" width="15.140625" style="157" customWidth="1"/>
    <col min="2" max="2" width="22.42578125" style="157" customWidth="1"/>
    <col min="3" max="4" width="25.5703125" style="157" customWidth="1"/>
    <col min="5" max="5" width="19.28515625" style="157" customWidth="1"/>
    <col min="6" max="6" width="23.28515625" style="157" customWidth="1"/>
    <col min="7" max="7" width="27" style="157" customWidth="1"/>
    <col min="8" max="8" width="15.28515625" style="157" customWidth="1"/>
    <col min="9" max="9" width="11.28515625" style="157" customWidth="1"/>
    <col min="10" max="10" width="11.42578125" style="157" customWidth="1"/>
    <col min="11" max="11" width="20" style="157" customWidth="1"/>
    <col min="12" max="16384" width="9.140625" style="122"/>
  </cols>
  <sheetData>
    <row r="1" spans="1:11" customFormat="1">
      <c r="A1" s="61" t="s">
        <v>940</v>
      </c>
      <c r="B1" s="153"/>
      <c r="C1" s="153"/>
      <c r="D1" s="153"/>
      <c r="E1" s="153"/>
      <c r="F1" s="153"/>
      <c r="G1" s="153"/>
      <c r="H1" s="153"/>
      <c r="I1" s="153"/>
      <c r="J1" s="153"/>
      <c r="K1" s="153"/>
    </row>
    <row r="2" spans="1:11" customFormat="1" ht="21.75" customHeight="1">
      <c r="A2" s="247" t="s">
        <v>941</v>
      </c>
      <c r="B2" s="247"/>
      <c r="C2" s="247"/>
      <c r="D2" s="166"/>
      <c r="E2" s="153"/>
      <c r="F2" s="153"/>
      <c r="G2" s="153"/>
      <c r="H2" s="153"/>
      <c r="I2" s="153"/>
      <c r="J2" s="153"/>
      <c r="K2" s="153"/>
    </row>
    <row r="3" spans="1:11" customFormat="1" ht="22.5" customHeight="1">
      <c r="A3" s="158"/>
      <c r="B3" s="158"/>
      <c r="C3" s="158"/>
      <c r="D3" s="158"/>
      <c r="E3" s="158"/>
      <c r="F3" s="158"/>
      <c r="G3" s="158"/>
      <c r="H3" s="158"/>
      <c r="I3" s="158"/>
      <c r="J3" s="158"/>
      <c r="K3" s="158"/>
    </row>
    <row r="4" spans="1:11" customFormat="1" ht="26.25" customHeight="1">
      <c r="A4" s="221" t="s">
        <v>1355</v>
      </c>
      <c r="B4" s="222"/>
      <c r="C4" s="222"/>
      <c r="D4" s="222"/>
      <c r="E4" s="222"/>
      <c r="F4" s="222"/>
      <c r="G4" s="222"/>
      <c r="H4" s="222"/>
      <c r="I4" s="222"/>
      <c r="J4" s="222"/>
      <c r="K4" s="223"/>
    </row>
    <row r="5" spans="1:11" customFormat="1" ht="105.75" customHeight="1">
      <c r="A5" s="260" t="s">
        <v>1096</v>
      </c>
      <c r="B5" s="261"/>
      <c r="C5" s="261"/>
      <c r="D5" s="261"/>
      <c r="E5" s="262"/>
      <c r="F5" s="262"/>
      <c r="G5" s="262"/>
      <c r="H5" s="262"/>
      <c r="I5" s="262"/>
      <c r="J5" s="262"/>
      <c r="K5" s="263"/>
    </row>
    <row r="6" spans="1:11" customFormat="1" ht="90" customHeight="1">
      <c r="A6" s="159" t="s">
        <v>139</v>
      </c>
      <c r="B6" s="164" t="s">
        <v>0</v>
      </c>
      <c r="C6" s="165" t="s">
        <v>334</v>
      </c>
      <c r="D6" s="165" t="s">
        <v>942</v>
      </c>
      <c r="E6" s="161" t="s">
        <v>938</v>
      </c>
      <c r="F6" s="141" t="s">
        <v>1155</v>
      </c>
      <c r="G6" s="141" t="s">
        <v>557</v>
      </c>
      <c r="H6" s="257" t="s">
        <v>556</v>
      </c>
      <c r="I6" s="258"/>
      <c r="J6" s="258"/>
      <c r="K6" s="259"/>
    </row>
    <row r="7" spans="1:11" customFormat="1" ht="26.1" customHeight="1">
      <c r="A7" s="160"/>
      <c r="B7" s="160"/>
      <c r="C7" s="162"/>
      <c r="D7" s="162"/>
      <c r="E7" s="162"/>
      <c r="F7" s="142"/>
      <c r="G7" s="142"/>
      <c r="H7" s="46">
        <v>0.04</v>
      </c>
      <c r="I7" s="46">
        <v>7.0000000000000007E-2</v>
      </c>
      <c r="J7" s="46">
        <v>0.12</v>
      </c>
      <c r="K7" s="46" t="s">
        <v>1097</v>
      </c>
    </row>
    <row r="8" spans="1:11" customFormat="1" ht="30.75" customHeight="1">
      <c r="A8" s="173">
        <v>1</v>
      </c>
      <c r="B8" s="248" t="s">
        <v>1177</v>
      </c>
      <c r="C8" s="249"/>
      <c r="D8" s="167" t="s">
        <v>1173</v>
      </c>
      <c r="E8" s="171">
        <v>0.33</v>
      </c>
      <c r="F8" s="254" t="s">
        <v>1178</v>
      </c>
      <c r="G8" s="254" t="s">
        <v>1179</v>
      </c>
      <c r="H8" s="176">
        <v>0.61619999999999997</v>
      </c>
      <c r="I8" s="176">
        <v>0.56569999999999998</v>
      </c>
      <c r="J8" s="176">
        <v>0.48149999999999998</v>
      </c>
      <c r="K8" s="176">
        <v>0.33</v>
      </c>
    </row>
    <row r="9" spans="1:11" customFormat="1" ht="32.25" customHeight="1">
      <c r="A9" s="174">
        <v>2</v>
      </c>
      <c r="B9" s="250"/>
      <c r="C9" s="251"/>
      <c r="D9" s="168" t="s">
        <v>1174</v>
      </c>
      <c r="E9" s="170">
        <v>0.38240000000000002</v>
      </c>
      <c r="F9" s="255"/>
      <c r="G9" s="255"/>
      <c r="H9" s="177">
        <v>0.67989999999999995</v>
      </c>
      <c r="I9" s="176">
        <v>0.62739999999999996</v>
      </c>
      <c r="J9" s="176">
        <v>0.53990000000000005</v>
      </c>
      <c r="K9" s="176">
        <v>0.38240000000000002</v>
      </c>
    </row>
    <row r="10" spans="1:11" customFormat="1" ht="36.75" customHeight="1">
      <c r="A10" s="173">
        <v>3</v>
      </c>
      <c r="B10" s="252"/>
      <c r="C10" s="253"/>
      <c r="D10" s="169" t="s">
        <v>1175</v>
      </c>
      <c r="E10" s="172">
        <v>0.4138</v>
      </c>
      <c r="F10" s="256"/>
      <c r="G10" s="256"/>
      <c r="H10" s="178">
        <v>0.71799999999999997</v>
      </c>
      <c r="I10" s="176">
        <v>0.6643</v>
      </c>
      <c r="J10" s="176">
        <v>0.57489999999999997</v>
      </c>
      <c r="K10" s="176">
        <v>0.4138</v>
      </c>
    </row>
    <row r="11" spans="1:11">
      <c r="A11" s="146"/>
      <c r="B11" s="152"/>
      <c r="C11" s="143"/>
      <c r="D11" s="143"/>
      <c r="E11" s="144"/>
      <c r="F11" s="144"/>
      <c r="G11" s="144"/>
      <c r="H11" s="113"/>
      <c r="I11" s="113"/>
      <c r="J11" s="113"/>
      <c r="K11" s="103"/>
    </row>
    <row r="12" spans="1:11">
      <c r="A12" s="154"/>
      <c r="B12" s="155"/>
      <c r="C12" s="143"/>
      <c r="D12" s="143"/>
      <c r="E12" s="144"/>
      <c r="F12" s="144"/>
      <c r="G12" s="144"/>
      <c r="H12" s="113"/>
      <c r="I12" s="113"/>
      <c r="J12" s="113"/>
      <c r="K12" s="103"/>
    </row>
    <row r="13" spans="1:11">
      <c r="A13" s="151"/>
      <c r="B13" s="152"/>
      <c r="C13" s="143"/>
      <c r="D13" s="143"/>
      <c r="E13" s="144"/>
      <c r="F13" s="144"/>
      <c r="G13" s="144"/>
      <c r="H13" s="113"/>
      <c r="I13" s="113"/>
      <c r="J13" s="113"/>
      <c r="K13" s="103"/>
    </row>
    <row r="14" spans="1:11">
      <c r="A14" s="154"/>
      <c r="B14" s="155"/>
      <c r="C14" s="143"/>
      <c r="D14" s="143"/>
      <c r="E14" s="144"/>
      <c r="F14" s="144"/>
      <c r="G14" s="144"/>
      <c r="H14" s="113"/>
      <c r="I14" s="113"/>
      <c r="J14" s="113"/>
      <c r="K14" s="103"/>
    </row>
    <row r="15" spans="1:11">
      <c r="A15" s="151"/>
      <c r="B15" s="152"/>
      <c r="C15" s="143"/>
      <c r="D15" s="143"/>
      <c r="E15" s="144"/>
      <c r="F15" s="144"/>
      <c r="G15" s="144"/>
      <c r="H15" s="113"/>
      <c r="I15" s="113"/>
      <c r="J15" s="113"/>
      <c r="K15" s="103"/>
    </row>
    <row r="16" spans="1:11">
      <c r="A16" s="154"/>
      <c r="B16" s="155"/>
      <c r="C16" s="143"/>
      <c r="D16" s="143"/>
      <c r="E16" s="144"/>
      <c r="F16" s="144"/>
      <c r="G16" s="144"/>
      <c r="H16" s="113"/>
      <c r="I16" s="113"/>
      <c r="J16" s="113"/>
      <c r="K16" s="103"/>
    </row>
    <row r="17" spans="1:19" ht="45" customHeight="1">
      <c r="A17" s="151"/>
      <c r="B17" s="152"/>
      <c r="C17" s="143"/>
      <c r="D17" s="143"/>
      <c r="E17" s="145"/>
      <c r="F17" s="144"/>
      <c r="G17" s="144"/>
      <c r="H17" s="113"/>
      <c r="I17" s="113"/>
      <c r="J17" s="113"/>
      <c r="K17" s="103"/>
    </row>
    <row r="18" spans="1:19" ht="46.5" customHeight="1">
      <c r="A18" s="154"/>
      <c r="B18" s="155"/>
      <c r="C18" s="143"/>
      <c r="D18" s="143"/>
      <c r="E18" s="144"/>
      <c r="F18" s="144"/>
      <c r="G18" s="144"/>
      <c r="H18" s="113"/>
      <c r="I18" s="113"/>
      <c r="J18" s="113"/>
      <c r="K18" s="103"/>
      <c r="S18" s="175"/>
    </row>
    <row r="19" spans="1:19">
      <c r="A19" s="151"/>
      <c r="B19" s="152"/>
      <c r="C19" s="143"/>
      <c r="D19" s="143"/>
      <c r="E19" s="144"/>
      <c r="F19" s="144"/>
      <c r="G19" s="144"/>
      <c r="H19" s="113"/>
      <c r="I19" s="113"/>
      <c r="J19" s="113"/>
      <c r="K19" s="103"/>
    </row>
    <row r="20" spans="1:19">
      <c r="A20" s="154"/>
      <c r="B20" s="155"/>
      <c r="C20" s="143"/>
      <c r="D20" s="143"/>
      <c r="E20" s="144"/>
      <c r="F20" s="144"/>
      <c r="G20" s="144"/>
      <c r="H20" s="113"/>
      <c r="I20" s="113"/>
      <c r="J20" s="113"/>
      <c r="K20" s="103"/>
    </row>
    <row r="21" spans="1:19">
      <c r="A21" s="151"/>
      <c r="B21" s="152"/>
      <c r="C21" s="143"/>
      <c r="D21" s="143"/>
      <c r="E21" s="144"/>
      <c r="F21" s="144"/>
      <c r="G21" s="144"/>
      <c r="H21" s="113"/>
      <c r="I21" s="113"/>
      <c r="J21" s="113"/>
      <c r="K21" s="103"/>
    </row>
    <row r="22" spans="1:19">
      <c r="A22" s="154"/>
      <c r="B22" s="155"/>
      <c r="C22" s="143"/>
      <c r="D22" s="143"/>
      <c r="E22" s="144"/>
      <c r="F22" s="144"/>
      <c r="G22" s="144"/>
      <c r="H22" s="113"/>
      <c r="I22" s="113"/>
      <c r="J22" s="113"/>
      <c r="K22" s="103"/>
    </row>
    <row r="23" spans="1:19">
      <c r="A23" s="151"/>
      <c r="B23" s="152"/>
      <c r="C23" s="143"/>
      <c r="D23" s="143"/>
      <c r="E23" s="144"/>
      <c r="F23" s="144"/>
      <c r="G23" s="144"/>
      <c r="H23" s="113"/>
      <c r="I23" s="113"/>
      <c r="J23" s="113"/>
      <c r="K23" s="103"/>
    </row>
    <row r="24" spans="1:19">
      <c r="A24" s="154"/>
      <c r="B24" s="155"/>
      <c r="C24" s="143"/>
      <c r="D24" s="143"/>
      <c r="E24" s="144"/>
      <c r="F24" s="144"/>
      <c r="G24" s="144"/>
      <c r="H24" s="113"/>
      <c r="I24" s="113"/>
      <c r="J24" s="113"/>
      <c r="K24" s="103"/>
    </row>
    <row r="25" spans="1:19">
      <c r="A25" s="151"/>
      <c r="B25" s="152"/>
      <c r="C25" s="143"/>
      <c r="D25" s="143"/>
      <c r="E25" s="144"/>
      <c r="F25" s="144"/>
      <c r="G25" s="144"/>
      <c r="H25" s="113"/>
      <c r="I25" s="113"/>
      <c r="J25" s="113"/>
      <c r="K25" s="103"/>
    </row>
    <row r="26" spans="1:19" ht="51" customHeight="1">
      <c r="A26" s="154"/>
      <c r="B26" s="155"/>
      <c r="C26" s="143"/>
      <c r="D26" s="143"/>
      <c r="E26" s="144"/>
      <c r="F26" s="144"/>
      <c r="G26" s="144"/>
      <c r="H26" s="113"/>
      <c r="I26" s="113"/>
      <c r="J26" s="113"/>
      <c r="K26" s="103"/>
    </row>
    <row r="27" spans="1:19" ht="52.5" customHeight="1">
      <c r="A27" s="151"/>
      <c r="B27" s="152"/>
      <c r="C27" s="143"/>
      <c r="D27" s="143"/>
      <c r="E27" s="144"/>
      <c r="F27" s="144"/>
      <c r="G27" s="144"/>
      <c r="H27" s="113"/>
      <c r="I27" s="113"/>
      <c r="J27" s="113"/>
      <c r="K27" s="103"/>
    </row>
    <row r="28" spans="1:19">
      <c r="A28" s="154"/>
      <c r="B28" s="155"/>
      <c r="C28" s="143"/>
      <c r="D28" s="143"/>
      <c r="E28" s="144"/>
      <c r="F28" s="144"/>
      <c r="G28" s="144"/>
      <c r="H28" s="113"/>
      <c r="I28" s="113"/>
      <c r="J28" s="113"/>
      <c r="K28" s="103"/>
    </row>
    <row r="29" spans="1:19">
      <c r="A29" s="146"/>
      <c r="B29" s="147"/>
      <c r="C29" s="143"/>
      <c r="D29" s="143"/>
      <c r="E29" s="144"/>
      <c r="F29" s="144"/>
      <c r="G29" s="144"/>
      <c r="H29" s="113"/>
      <c r="I29" s="113"/>
      <c r="J29" s="113"/>
      <c r="K29" s="103"/>
    </row>
    <row r="30" spans="1:19">
      <c r="A30" s="146"/>
      <c r="B30" s="147"/>
      <c r="C30" s="143"/>
      <c r="D30" s="143"/>
      <c r="E30" s="144"/>
      <c r="F30" s="144"/>
      <c r="G30" s="144"/>
      <c r="H30" s="113"/>
      <c r="I30" s="113"/>
      <c r="J30" s="113"/>
      <c r="K30" s="113"/>
    </row>
    <row r="31" spans="1:19">
      <c r="A31" s="156"/>
      <c r="B31" s="143"/>
      <c r="C31" s="148"/>
      <c r="D31" s="148"/>
      <c r="E31" s="144"/>
      <c r="F31" s="144"/>
      <c r="G31" s="144"/>
      <c r="H31" s="113"/>
      <c r="I31" s="113"/>
      <c r="J31" s="113"/>
      <c r="K31" s="103"/>
    </row>
    <row r="32" spans="1:19">
      <c r="A32" s="146"/>
      <c r="B32" s="147"/>
      <c r="C32" s="143"/>
      <c r="D32" s="143"/>
      <c r="E32" s="144"/>
      <c r="F32" s="144"/>
      <c r="G32" s="144"/>
      <c r="H32" s="113"/>
      <c r="I32" s="113"/>
      <c r="J32" s="113"/>
      <c r="K32" s="103"/>
    </row>
    <row r="33" spans="1:11">
      <c r="A33" s="146"/>
      <c r="B33" s="147"/>
      <c r="C33" s="143"/>
      <c r="D33" s="143"/>
      <c r="E33" s="144"/>
      <c r="F33" s="144"/>
      <c r="G33" s="144"/>
      <c r="H33" s="113"/>
      <c r="I33" s="113"/>
      <c r="J33" s="113"/>
      <c r="K33" s="103"/>
    </row>
    <row r="34" spans="1:11">
      <c r="A34" s="146"/>
      <c r="B34" s="147"/>
      <c r="C34" s="143"/>
      <c r="D34" s="143"/>
      <c r="E34" s="144"/>
      <c r="F34" s="144"/>
      <c r="G34" s="144"/>
      <c r="K34" s="103"/>
    </row>
    <row r="35" spans="1:11">
      <c r="A35" s="146"/>
      <c r="B35" s="147"/>
      <c r="C35" s="143"/>
      <c r="D35" s="143"/>
      <c r="E35" s="144"/>
      <c r="F35" s="144"/>
      <c r="G35" s="144"/>
      <c r="K35" s="103"/>
    </row>
    <row r="36" spans="1:11">
      <c r="A36" s="146"/>
      <c r="B36" s="147"/>
      <c r="C36" s="143"/>
      <c r="D36" s="143"/>
      <c r="E36" s="144"/>
      <c r="F36" s="144"/>
      <c r="G36" s="144"/>
    </row>
    <row r="37" spans="1:11">
      <c r="A37" s="146"/>
      <c r="B37" s="147"/>
      <c r="C37" s="143"/>
      <c r="D37" s="143"/>
      <c r="E37" s="144"/>
      <c r="F37" s="144"/>
      <c r="G37" s="144"/>
    </row>
    <row r="38" spans="1:11">
      <c r="A38" s="146"/>
      <c r="B38" s="147"/>
      <c r="C38" s="143"/>
      <c r="D38" s="143"/>
      <c r="E38" s="144"/>
      <c r="F38" s="144"/>
      <c r="G38" s="144"/>
    </row>
    <row r="39" spans="1:11">
      <c r="A39" s="146"/>
      <c r="B39" s="147"/>
      <c r="C39" s="143"/>
      <c r="D39" s="143"/>
      <c r="E39" s="144"/>
      <c r="F39" s="144"/>
      <c r="G39" s="144"/>
    </row>
    <row r="40" spans="1:11">
      <c r="A40" s="146"/>
      <c r="B40" s="147"/>
      <c r="C40" s="143"/>
      <c r="D40" s="143"/>
      <c r="E40" s="144"/>
      <c r="F40" s="144"/>
      <c r="G40" s="144"/>
    </row>
    <row r="41" spans="1:11">
      <c r="A41" s="146"/>
      <c r="B41" s="147"/>
      <c r="C41" s="143"/>
      <c r="D41" s="143"/>
      <c r="E41" s="144"/>
      <c r="F41" s="144"/>
      <c r="G41" s="144"/>
    </row>
    <row r="42" spans="1:11">
      <c r="A42" s="146"/>
      <c r="B42" s="147"/>
      <c r="C42" s="143"/>
      <c r="D42" s="143"/>
      <c r="E42" s="144"/>
      <c r="F42" s="144"/>
      <c r="G42" s="144"/>
    </row>
    <row r="43" spans="1:11">
      <c r="A43" s="146"/>
      <c r="B43" s="147"/>
      <c r="C43" s="143"/>
      <c r="D43" s="143"/>
      <c r="E43" s="144"/>
      <c r="F43" s="144"/>
      <c r="G43" s="144"/>
    </row>
    <row r="44" spans="1:11">
      <c r="A44" s="146"/>
      <c r="B44" s="147"/>
      <c r="C44" s="143"/>
      <c r="D44" s="143"/>
      <c r="E44" s="144"/>
      <c r="F44" s="144"/>
      <c r="G44" s="144"/>
    </row>
    <row r="45" spans="1:11">
      <c r="A45" s="149"/>
      <c r="B45" s="150"/>
      <c r="C45" s="150"/>
      <c r="D45" s="150"/>
      <c r="E45" s="144"/>
      <c r="F45" s="144"/>
      <c r="G45" s="144"/>
    </row>
    <row r="46" spans="1:11">
      <c r="A46" s="146"/>
      <c r="B46" s="147"/>
      <c r="C46" s="143"/>
      <c r="D46" s="143"/>
      <c r="E46" s="144"/>
      <c r="F46" s="144"/>
      <c r="G46" s="144"/>
    </row>
    <row r="47" spans="1:11">
      <c r="A47" s="146"/>
      <c r="B47" s="147"/>
      <c r="C47" s="143"/>
      <c r="D47" s="143"/>
      <c r="E47" s="144"/>
      <c r="F47" s="144"/>
      <c r="G47" s="144"/>
    </row>
    <row r="48" spans="1:11">
      <c r="A48" s="146"/>
      <c r="B48" s="147"/>
      <c r="C48" s="143"/>
      <c r="D48" s="143"/>
      <c r="E48" s="144"/>
      <c r="F48" s="144"/>
      <c r="G48" s="144"/>
    </row>
    <row r="49" spans="1:7">
      <c r="A49" s="151"/>
      <c r="B49" s="152"/>
      <c r="C49" s="143"/>
      <c r="D49" s="143"/>
      <c r="E49" s="144"/>
      <c r="F49" s="144"/>
      <c r="G49" s="144"/>
    </row>
    <row r="50" spans="1:7">
      <c r="A50" s="154"/>
      <c r="B50" s="155"/>
      <c r="C50" s="143"/>
      <c r="D50" s="143"/>
      <c r="E50" s="144"/>
      <c r="F50" s="144"/>
      <c r="G50" s="144"/>
    </row>
  </sheetData>
  <mergeCells count="7">
    <mergeCell ref="A2:C2"/>
    <mergeCell ref="B8:C10"/>
    <mergeCell ref="F8:F10"/>
    <mergeCell ref="G8:G10"/>
    <mergeCell ref="H6:K6"/>
    <mergeCell ref="A4:K4"/>
    <mergeCell ref="A5:K5"/>
  </mergeCells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55"/>
  <sheetViews>
    <sheetView showGridLines="0" zoomScale="90" zoomScaleNormal="90" workbookViewId="0">
      <selection activeCell="G9" sqref="G9"/>
    </sheetView>
  </sheetViews>
  <sheetFormatPr defaultRowHeight="15"/>
  <cols>
    <col min="1" max="1" width="15.140625" style="157" customWidth="1"/>
    <col min="2" max="2" width="22.42578125" style="157" customWidth="1"/>
    <col min="3" max="3" width="25.5703125" style="157" customWidth="1"/>
    <col min="4" max="4" width="36.7109375" style="157" customWidth="1"/>
    <col min="5" max="5" width="19.28515625" style="157" customWidth="1"/>
    <col min="6" max="6" width="23.28515625" style="157" customWidth="1"/>
    <col min="7" max="7" width="27" style="157" customWidth="1"/>
    <col min="8" max="8" width="15.28515625" style="157" customWidth="1"/>
    <col min="9" max="9" width="11.28515625" style="157" customWidth="1"/>
    <col min="10" max="10" width="11.42578125" style="157" customWidth="1"/>
    <col min="11" max="11" width="20" style="157" customWidth="1"/>
    <col min="12" max="16384" width="9.140625" style="122"/>
  </cols>
  <sheetData>
    <row r="1" spans="1:11" customFormat="1">
      <c r="A1" s="61" t="s">
        <v>940</v>
      </c>
      <c r="B1" s="153"/>
      <c r="C1" s="153"/>
      <c r="D1" s="153"/>
      <c r="E1" s="153"/>
      <c r="F1" s="153"/>
      <c r="G1" s="153"/>
      <c r="H1" s="153"/>
      <c r="I1" s="153"/>
      <c r="J1" s="153"/>
      <c r="K1" s="153"/>
    </row>
    <row r="2" spans="1:11" customFormat="1" ht="21.75" customHeight="1">
      <c r="A2" s="247" t="s">
        <v>941</v>
      </c>
      <c r="B2" s="247"/>
      <c r="C2" s="247"/>
      <c r="D2" s="166"/>
      <c r="E2" s="153"/>
      <c r="F2" s="153"/>
      <c r="G2" s="153"/>
      <c r="H2" s="153"/>
      <c r="I2" s="153"/>
      <c r="J2" s="153"/>
      <c r="K2" s="153"/>
    </row>
    <row r="3" spans="1:11" ht="22.5" customHeight="1">
      <c r="A3" s="179"/>
      <c r="B3" s="179"/>
      <c r="C3" s="179"/>
      <c r="D3" s="179"/>
      <c r="E3" s="179"/>
      <c r="F3" s="179"/>
      <c r="G3" s="179"/>
      <c r="H3" s="179"/>
      <c r="I3" s="179"/>
      <c r="J3" s="179"/>
      <c r="K3" s="179"/>
    </row>
    <row r="4" spans="1:11" ht="95.25" customHeight="1">
      <c r="A4" s="288" t="s">
        <v>1180</v>
      </c>
      <c r="B4" s="289"/>
      <c r="C4" s="289"/>
      <c r="D4" s="290"/>
      <c r="E4" s="183"/>
      <c r="F4" s="183"/>
      <c r="G4" s="183"/>
      <c r="H4" s="183"/>
      <c r="I4" s="183"/>
      <c r="J4" s="163"/>
      <c r="K4" s="163"/>
    </row>
    <row r="5" spans="1:11" ht="21" customHeight="1">
      <c r="A5" s="291" t="s">
        <v>139</v>
      </c>
      <c r="B5" s="291" t="s">
        <v>0</v>
      </c>
      <c r="C5" s="291" t="s">
        <v>1005</v>
      </c>
      <c r="D5" s="291" t="s">
        <v>942</v>
      </c>
      <c r="E5" s="183"/>
      <c r="F5" s="183"/>
      <c r="G5" s="183"/>
      <c r="H5" s="183"/>
      <c r="I5" s="183"/>
      <c r="J5" s="180"/>
      <c r="K5" s="180"/>
    </row>
    <row r="6" spans="1:11" ht="27" customHeight="1">
      <c r="A6" s="264" t="s">
        <v>687</v>
      </c>
      <c r="B6" s="264" t="s">
        <v>196</v>
      </c>
      <c r="C6" s="97">
        <v>3003</v>
      </c>
      <c r="D6" s="265" t="s">
        <v>534</v>
      </c>
      <c r="E6" s="183"/>
      <c r="F6" s="183"/>
      <c r="G6" s="183"/>
      <c r="H6" s="183"/>
      <c r="I6" s="183"/>
      <c r="J6" s="129"/>
      <c r="K6" s="129"/>
    </row>
    <row r="7" spans="1:11" ht="26.1" customHeight="1">
      <c r="A7" s="246"/>
      <c r="B7" s="246"/>
      <c r="C7" s="97">
        <v>3004</v>
      </c>
      <c r="D7" s="246"/>
      <c r="E7" s="183"/>
      <c r="F7" s="183"/>
      <c r="G7" s="183"/>
      <c r="H7" s="183"/>
      <c r="I7" s="183"/>
      <c r="J7" s="181"/>
      <c r="K7" s="181"/>
    </row>
    <row r="8" spans="1:11" ht="30.75" customHeight="1">
      <c r="A8" s="264" t="s">
        <v>302</v>
      </c>
      <c r="B8" s="264" t="s">
        <v>197</v>
      </c>
      <c r="C8" s="97">
        <v>3003</v>
      </c>
      <c r="D8" s="265" t="s">
        <v>535</v>
      </c>
      <c r="E8" s="183"/>
      <c r="F8" s="183"/>
      <c r="G8" s="183"/>
      <c r="H8" s="183"/>
      <c r="I8" s="183"/>
      <c r="J8" s="182"/>
      <c r="K8" s="182"/>
    </row>
    <row r="9" spans="1:11" ht="32.25" customHeight="1">
      <c r="A9" s="246"/>
      <c r="B9" s="246"/>
      <c r="C9" s="97">
        <v>3004</v>
      </c>
      <c r="D9" s="246"/>
      <c r="E9" s="183"/>
      <c r="F9" s="183"/>
      <c r="G9" s="183"/>
      <c r="H9" s="183"/>
      <c r="I9" s="183"/>
      <c r="J9" s="182"/>
      <c r="K9" s="182"/>
    </row>
    <row r="10" spans="1:11" ht="36.75" customHeight="1">
      <c r="A10" s="264" t="s">
        <v>303</v>
      </c>
      <c r="B10" s="264" t="s">
        <v>198</v>
      </c>
      <c r="C10" s="97">
        <v>3003</v>
      </c>
      <c r="D10" s="265" t="s">
        <v>536</v>
      </c>
      <c r="E10" s="183"/>
      <c r="F10" s="183"/>
      <c r="G10" s="183"/>
      <c r="H10" s="183"/>
      <c r="I10" s="183"/>
      <c r="J10" s="182"/>
      <c r="K10" s="182"/>
    </row>
    <row r="11" spans="1:11">
      <c r="A11" s="246"/>
      <c r="B11" s="246"/>
      <c r="C11" s="97">
        <v>3004</v>
      </c>
      <c r="D11" s="246"/>
      <c r="E11" s="183"/>
      <c r="F11" s="183"/>
      <c r="G11" s="183"/>
      <c r="H11" s="183"/>
      <c r="I11" s="183"/>
      <c r="J11" s="113"/>
      <c r="K11" s="103"/>
    </row>
    <row r="12" spans="1:11">
      <c r="A12" s="264" t="s">
        <v>690</v>
      </c>
      <c r="B12" s="264" t="s">
        <v>199</v>
      </c>
      <c r="C12" s="97">
        <v>3003</v>
      </c>
      <c r="D12" s="265" t="s">
        <v>1061</v>
      </c>
      <c r="E12" s="183"/>
      <c r="F12" s="183"/>
      <c r="G12" s="183"/>
      <c r="H12" s="183"/>
      <c r="I12" s="183"/>
      <c r="J12" s="113"/>
      <c r="K12" s="103"/>
    </row>
    <row r="13" spans="1:11">
      <c r="A13" s="246"/>
      <c r="B13" s="246"/>
      <c r="C13" s="97">
        <v>3004</v>
      </c>
      <c r="D13" s="246"/>
      <c r="E13" s="183"/>
      <c r="F13" s="183"/>
      <c r="G13" s="183"/>
      <c r="H13" s="183"/>
      <c r="I13" s="183"/>
      <c r="J13" s="113"/>
      <c r="K13" s="103"/>
    </row>
    <row r="14" spans="1:11">
      <c r="A14" s="264" t="s">
        <v>1062</v>
      </c>
      <c r="B14" s="264" t="s">
        <v>200</v>
      </c>
      <c r="C14" s="97">
        <v>3003</v>
      </c>
      <c r="D14" s="265" t="s">
        <v>1063</v>
      </c>
      <c r="E14" s="183"/>
      <c r="F14" s="183"/>
      <c r="G14" s="183"/>
      <c r="H14" s="183"/>
      <c r="I14" s="183"/>
      <c r="J14" s="113"/>
      <c r="K14" s="103"/>
    </row>
    <row r="15" spans="1:11">
      <c r="A15" s="246"/>
      <c r="B15" s="246"/>
      <c r="C15" s="97">
        <v>3004</v>
      </c>
      <c r="D15" s="246"/>
      <c r="E15" s="183"/>
      <c r="F15" s="183"/>
      <c r="G15" s="183"/>
      <c r="H15" s="183"/>
      <c r="I15" s="183"/>
      <c r="J15" s="113"/>
      <c r="K15" s="103"/>
    </row>
    <row r="16" spans="1:11">
      <c r="A16" s="264" t="s">
        <v>1064</v>
      </c>
      <c r="B16" s="264" t="s">
        <v>201</v>
      </c>
      <c r="C16" s="97">
        <v>3003</v>
      </c>
      <c r="D16" s="265" t="s">
        <v>1065</v>
      </c>
      <c r="E16" s="183"/>
      <c r="F16" s="183"/>
      <c r="G16" s="183"/>
      <c r="H16" s="183"/>
      <c r="I16" s="183"/>
      <c r="J16" s="113"/>
      <c r="K16" s="103"/>
    </row>
    <row r="17" spans="1:19" ht="45" customHeight="1">
      <c r="A17" s="246"/>
      <c r="B17" s="246"/>
      <c r="C17" s="97">
        <v>3004</v>
      </c>
      <c r="D17" s="246"/>
      <c r="E17" s="183"/>
      <c r="F17" s="183"/>
      <c r="G17" s="183"/>
      <c r="H17" s="183"/>
      <c r="I17" s="183"/>
      <c r="J17" s="113"/>
      <c r="K17" s="103"/>
    </row>
    <row r="18" spans="1:19" ht="46.5" customHeight="1">
      <c r="A18" s="264" t="s">
        <v>692</v>
      </c>
      <c r="B18" s="264" t="s">
        <v>202</v>
      </c>
      <c r="C18" s="97">
        <v>3003</v>
      </c>
      <c r="D18" s="265" t="s">
        <v>1066</v>
      </c>
      <c r="E18" s="183"/>
      <c r="F18" s="183"/>
      <c r="G18" s="183"/>
      <c r="H18" s="183"/>
      <c r="I18" s="183"/>
      <c r="J18" s="113"/>
      <c r="K18" s="103"/>
      <c r="S18" s="175"/>
    </row>
    <row r="19" spans="1:19">
      <c r="A19" s="246"/>
      <c r="B19" s="246"/>
      <c r="C19" s="97">
        <v>3004</v>
      </c>
      <c r="D19" s="246"/>
      <c r="E19" s="183"/>
      <c r="F19" s="183"/>
      <c r="G19" s="183"/>
      <c r="H19" s="183"/>
      <c r="I19" s="183"/>
      <c r="J19" s="113"/>
      <c r="K19" s="103"/>
    </row>
    <row r="20" spans="1:19">
      <c r="A20" s="264" t="s">
        <v>1067</v>
      </c>
      <c r="B20" s="264" t="s">
        <v>203</v>
      </c>
      <c r="C20" s="97">
        <v>3003</v>
      </c>
      <c r="D20" s="265" t="s">
        <v>1068</v>
      </c>
      <c r="E20" s="183"/>
      <c r="F20" s="183"/>
      <c r="G20" s="183"/>
      <c r="H20" s="183"/>
      <c r="I20" s="183"/>
      <c r="J20" s="113"/>
      <c r="K20" s="103"/>
    </row>
    <row r="21" spans="1:19">
      <c r="A21" s="246"/>
      <c r="B21" s="246"/>
      <c r="C21" s="97">
        <v>3004</v>
      </c>
      <c r="D21" s="246"/>
      <c r="E21" s="183"/>
      <c r="F21" s="183"/>
      <c r="G21" s="183"/>
      <c r="H21" s="183"/>
      <c r="I21" s="183"/>
      <c r="J21" s="113"/>
      <c r="K21" s="103"/>
    </row>
    <row r="22" spans="1:19">
      <c r="A22" s="264" t="s">
        <v>1069</v>
      </c>
      <c r="B22" s="264" t="s">
        <v>204</v>
      </c>
      <c r="C22" s="97">
        <v>3003</v>
      </c>
      <c r="D22" s="265" t="s">
        <v>1070</v>
      </c>
      <c r="E22" s="183"/>
      <c r="F22" s="183"/>
      <c r="G22" s="183"/>
      <c r="H22" s="183"/>
      <c r="I22" s="183"/>
      <c r="J22" s="113"/>
      <c r="K22" s="103"/>
    </row>
    <row r="23" spans="1:19">
      <c r="A23" s="246"/>
      <c r="B23" s="246"/>
      <c r="C23" s="97">
        <v>3004</v>
      </c>
      <c r="D23" s="246"/>
      <c r="E23" s="183"/>
      <c r="F23" s="183"/>
      <c r="G23" s="183"/>
      <c r="H23" s="183"/>
      <c r="I23" s="183"/>
      <c r="J23" s="113"/>
      <c r="K23" s="103"/>
    </row>
    <row r="24" spans="1:19">
      <c r="A24" s="264" t="s">
        <v>694</v>
      </c>
      <c r="B24" s="264" t="s">
        <v>205</v>
      </c>
      <c r="C24" s="97">
        <v>3003</v>
      </c>
      <c r="D24" s="265" t="s">
        <v>553</v>
      </c>
      <c r="E24" s="183"/>
      <c r="F24" s="183"/>
      <c r="G24" s="183"/>
      <c r="H24" s="183"/>
      <c r="I24" s="183"/>
      <c r="J24" s="113"/>
      <c r="K24" s="103"/>
    </row>
    <row r="25" spans="1:19">
      <c r="A25" s="246"/>
      <c r="B25" s="246"/>
      <c r="C25" s="97">
        <v>3004</v>
      </c>
      <c r="D25" s="246"/>
      <c r="E25" s="183"/>
      <c r="F25" s="183"/>
      <c r="G25" s="183"/>
      <c r="H25" s="183"/>
      <c r="I25" s="183"/>
      <c r="J25" s="113"/>
      <c r="K25" s="103"/>
    </row>
    <row r="26" spans="1:19" ht="51" customHeight="1">
      <c r="A26" s="264" t="s">
        <v>1071</v>
      </c>
      <c r="B26" s="264" t="s">
        <v>206</v>
      </c>
      <c r="C26" s="97">
        <v>3003</v>
      </c>
      <c r="D26" s="265" t="s">
        <v>554</v>
      </c>
      <c r="E26" s="183"/>
      <c r="F26" s="183"/>
      <c r="G26" s="183"/>
      <c r="H26" s="183"/>
      <c r="I26" s="183"/>
      <c r="J26" s="113"/>
      <c r="K26" s="103"/>
    </row>
    <row r="27" spans="1:19" ht="52.5" customHeight="1">
      <c r="A27" s="246"/>
      <c r="B27" s="246"/>
      <c r="C27" s="97">
        <v>3004</v>
      </c>
      <c r="D27" s="246"/>
      <c r="E27" s="183"/>
      <c r="F27" s="183"/>
      <c r="G27" s="183"/>
      <c r="H27" s="183"/>
      <c r="I27" s="183"/>
      <c r="J27" s="113"/>
      <c r="K27" s="103"/>
    </row>
    <row r="28" spans="1:19">
      <c r="A28" s="264" t="s">
        <v>1072</v>
      </c>
      <c r="B28" s="264" t="s">
        <v>207</v>
      </c>
      <c r="C28" s="97">
        <v>3003</v>
      </c>
      <c r="D28" s="265" t="s">
        <v>555</v>
      </c>
      <c r="E28" s="183"/>
      <c r="F28" s="183"/>
      <c r="G28" s="183"/>
      <c r="H28" s="183"/>
      <c r="I28" s="183"/>
      <c r="J28" s="113"/>
      <c r="K28" s="103"/>
    </row>
    <row r="29" spans="1:19">
      <c r="A29" s="246"/>
      <c r="B29" s="246"/>
      <c r="C29" s="97">
        <v>3004</v>
      </c>
      <c r="D29" s="246"/>
      <c r="E29" s="183"/>
      <c r="F29" s="183"/>
      <c r="G29" s="183"/>
      <c r="H29" s="183"/>
      <c r="I29" s="183"/>
      <c r="J29" s="113"/>
      <c r="K29" s="103"/>
    </row>
    <row r="30" spans="1:19" ht="84">
      <c r="A30" s="93" t="s">
        <v>696</v>
      </c>
      <c r="B30" s="93" t="s">
        <v>208</v>
      </c>
      <c r="C30" s="97" t="s">
        <v>537</v>
      </c>
      <c r="D30" s="98" t="s">
        <v>1073</v>
      </c>
      <c r="E30" s="183"/>
      <c r="F30" s="183"/>
      <c r="G30" s="183"/>
      <c r="H30" s="183"/>
      <c r="I30" s="183"/>
      <c r="J30" s="113"/>
      <c r="K30" s="113"/>
    </row>
    <row r="31" spans="1:19" ht="84">
      <c r="A31" s="93" t="s">
        <v>1074</v>
      </c>
      <c r="B31" s="93" t="s">
        <v>209</v>
      </c>
      <c r="C31" s="97" t="s">
        <v>537</v>
      </c>
      <c r="D31" s="98" t="s">
        <v>1075</v>
      </c>
      <c r="E31" s="183"/>
      <c r="F31" s="183"/>
      <c r="G31" s="183"/>
      <c r="H31" s="183"/>
      <c r="I31" s="183"/>
      <c r="J31" s="113"/>
      <c r="K31" s="103"/>
    </row>
    <row r="32" spans="1:19" ht="84">
      <c r="A32" s="99">
        <v>43501</v>
      </c>
      <c r="B32" s="97" t="s">
        <v>1076</v>
      </c>
      <c r="C32" s="98" t="s">
        <v>537</v>
      </c>
      <c r="D32" s="98" t="s">
        <v>1077</v>
      </c>
      <c r="E32" s="183"/>
      <c r="F32" s="183"/>
      <c r="G32" s="183"/>
      <c r="H32" s="183"/>
      <c r="I32" s="183"/>
      <c r="J32" s="113"/>
      <c r="K32" s="103"/>
    </row>
    <row r="33" spans="1:11" ht="84">
      <c r="A33" s="100">
        <v>43529</v>
      </c>
      <c r="B33" s="93" t="s">
        <v>1078</v>
      </c>
      <c r="C33" s="97" t="s">
        <v>537</v>
      </c>
      <c r="D33" s="98" t="s">
        <v>1079</v>
      </c>
      <c r="E33" s="183"/>
      <c r="F33" s="183"/>
      <c r="G33" s="183"/>
      <c r="H33" s="183"/>
      <c r="I33" s="183"/>
      <c r="J33" s="113"/>
      <c r="K33" s="103"/>
    </row>
    <row r="34" spans="1:11" ht="84">
      <c r="A34" s="100">
        <v>43560</v>
      </c>
      <c r="B34" s="93" t="s">
        <v>1080</v>
      </c>
      <c r="C34" s="97" t="s">
        <v>537</v>
      </c>
      <c r="D34" s="98" t="s">
        <v>1081</v>
      </c>
      <c r="E34" s="183"/>
      <c r="F34" s="183"/>
      <c r="G34" s="183"/>
      <c r="H34" s="183"/>
      <c r="I34" s="183"/>
      <c r="K34" s="103"/>
    </row>
    <row r="35" spans="1:11" ht="84">
      <c r="A35" s="100">
        <v>43590</v>
      </c>
      <c r="B35" s="93" t="s">
        <v>1082</v>
      </c>
      <c r="C35" s="97" t="s">
        <v>537</v>
      </c>
      <c r="D35" s="98" t="s">
        <v>1083</v>
      </c>
      <c r="E35" s="183"/>
      <c r="F35" s="183"/>
      <c r="G35" s="183"/>
      <c r="H35" s="183"/>
      <c r="I35" s="183"/>
      <c r="K35" s="103"/>
    </row>
    <row r="36" spans="1:11" ht="135">
      <c r="A36" s="93" t="s">
        <v>698</v>
      </c>
      <c r="B36" s="93" t="s">
        <v>210</v>
      </c>
      <c r="C36" s="97">
        <v>2936</v>
      </c>
      <c r="D36" s="98" t="s">
        <v>538</v>
      </c>
      <c r="E36" s="183"/>
      <c r="F36" s="183"/>
      <c r="G36" s="183"/>
      <c r="H36" s="183"/>
      <c r="I36" s="183"/>
    </row>
    <row r="37" spans="1:11" ht="90">
      <c r="A37" s="93" t="s">
        <v>701</v>
      </c>
      <c r="B37" s="93" t="s">
        <v>211</v>
      </c>
      <c r="C37" s="97" t="s">
        <v>539</v>
      </c>
      <c r="D37" s="98" t="s">
        <v>540</v>
      </c>
      <c r="E37" s="183"/>
      <c r="F37" s="183"/>
      <c r="G37" s="183"/>
      <c r="H37" s="183"/>
      <c r="I37" s="183"/>
    </row>
    <row r="38" spans="1:11" ht="90">
      <c r="A38" s="93" t="s">
        <v>1084</v>
      </c>
      <c r="B38" s="93" t="s">
        <v>212</v>
      </c>
      <c r="C38" s="97" t="s">
        <v>539</v>
      </c>
      <c r="D38" s="98" t="s">
        <v>541</v>
      </c>
      <c r="E38" s="183"/>
      <c r="F38" s="183"/>
      <c r="G38" s="183"/>
      <c r="H38" s="183"/>
      <c r="I38" s="183"/>
    </row>
    <row r="39" spans="1:11" ht="75">
      <c r="A39" s="93" t="s">
        <v>704</v>
      </c>
      <c r="B39" s="93" t="s">
        <v>213</v>
      </c>
      <c r="C39" s="97">
        <v>3002</v>
      </c>
      <c r="D39" s="98" t="s">
        <v>542</v>
      </c>
      <c r="E39" s="183"/>
      <c r="F39" s="183"/>
      <c r="G39" s="183"/>
      <c r="H39" s="183"/>
      <c r="I39" s="183"/>
    </row>
    <row r="40" spans="1:11" ht="75">
      <c r="A40" s="93" t="s">
        <v>1085</v>
      </c>
      <c r="B40" s="93" t="s">
        <v>214</v>
      </c>
      <c r="C40" s="97">
        <v>3002</v>
      </c>
      <c r="D40" s="98" t="s">
        <v>543</v>
      </c>
      <c r="E40" s="183"/>
      <c r="F40" s="183"/>
      <c r="G40" s="183"/>
      <c r="H40" s="183"/>
      <c r="I40" s="183"/>
    </row>
    <row r="41" spans="1:11" ht="45">
      <c r="A41" s="93" t="s">
        <v>706</v>
      </c>
      <c r="B41" s="93" t="s">
        <v>215</v>
      </c>
      <c r="C41" s="97">
        <v>3002</v>
      </c>
      <c r="D41" s="98" t="s">
        <v>544</v>
      </c>
      <c r="E41" s="183"/>
      <c r="F41" s="183"/>
      <c r="G41" s="183"/>
      <c r="H41" s="183"/>
      <c r="I41" s="183"/>
    </row>
    <row r="42" spans="1:11" ht="45">
      <c r="A42" s="93" t="s">
        <v>1086</v>
      </c>
      <c r="B42" s="93" t="s">
        <v>216</v>
      </c>
      <c r="C42" s="97">
        <v>3002</v>
      </c>
      <c r="D42" s="98" t="s">
        <v>1087</v>
      </c>
      <c r="E42" s="183"/>
      <c r="F42" s="183"/>
      <c r="G42" s="183"/>
      <c r="H42" s="183"/>
      <c r="I42" s="183"/>
    </row>
    <row r="43" spans="1:11" ht="75">
      <c r="A43" s="93" t="s">
        <v>709</v>
      </c>
      <c r="B43" s="93" t="s">
        <v>217</v>
      </c>
      <c r="C43" s="97" t="s">
        <v>545</v>
      </c>
      <c r="D43" s="98" t="s">
        <v>1088</v>
      </c>
      <c r="E43" s="183"/>
      <c r="F43" s="183"/>
      <c r="G43" s="183"/>
      <c r="H43" s="183"/>
      <c r="I43" s="183"/>
    </row>
    <row r="44" spans="1:11" ht="75">
      <c r="A44" s="93" t="s">
        <v>1089</v>
      </c>
      <c r="B44" s="93" t="s">
        <v>218</v>
      </c>
      <c r="C44" s="97" t="s">
        <v>545</v>
      </c>
      <c r="D44" s="98" t="s">
        <v>546</v>
      </c>
      <c r="E44" s="183"/>
      <c r="F44" s="183"/>
      <c r="G44" s="183"/>
      <c r="H44" s="183"/>
      <c r="I44" s="183"/>
    </row>
    <row r="45" spans="1:11" ht="120">
      <c r="A45" s="93" t="s">
        <v>711</v>
      </c>
      <c r="B45" s="93" t="s">
        <v>219</v>
      </c>
      <c r="C45" s="97">
        <v>3005</v>
      </c>
      <c r="D45" s="98" t="s">
        <v>1090</v>
      </c>
      <c r="E45" s="183"/>
      <c r="F45" s="183"/>
      <c r="G45" s="183"/>
      <c r="H45" s="183"/>
      <c r="I45" s="183"/>
    </row>
    <row r="46" spans="1:11" ht="75">
      <c r="A46" s="101" t="s">
        <v>713</v>
      </c>
      <c r="B46" s="101" t="s">
        <v>220</v>
      </c>
      <c r="C46" s="101" t="s">
        <v>1091</v>
      </c>
      <c r="D46" s="102" t="s">
        <v>1092</v>
      </c>
      <c r="E46" s="184"/>
      <c r="F46" s="184"/>
      <c r="G46" s="184"/>
      <c r="H46" s="184"/>
      <c r="I46" s="184"/>
    </row>
    <row r="47" spans="1:11">
      <c r="A47" s="93" t="s">
        <v>715</v>
      </c>
      <c r="B47" s="93" t="s">
        <v>221</v>
      </c>
      <c r="C47" s="97" t="s">
        <v>547</v>
      </c>
      <c r="D47" s="98" t="s">
        <v>550</v>
      </c>
      <c r="E47" s="183"/>
      <c r="F47" s="183"/>
      <c r="G47" s="183"/>
      <c r="H47" s="183"/>
      <c r="I47" s="183"/>
    </row>
    <row r="48" spans="1:11" ht="30">
      <c r="A48" s="93" t="s">
        <v>717</v>
      </c>
      <c r="B48" s="93" t="s">
        <v>222</v>
      </c>
      <c r="C48" s="97" t="s">
        <v>548</v>
      </c>
      <c r="D48" s="98" t="s">
        <v>1093</v>
      </c>
      <c r="E48" s="183"/>
      <c r="F48" s="183"/>
      <c r="G48" s="183"/>
      <c r="H48" s="183"/>
      <c r="I48" s="183"/>
    </row>
    <row r="49" spans="1:9">
      <c r="A49" s="93" t="s">
        <v>719</v>
      </c>
      <c r="B49" s="93" t="s">
        <v>223</v>
      </c>
      <c r="C49" s="97" t="s">
        <v>549</v>
      </c>
      <c r="D49" s="98" t="s">
        <v>551</v>
      </c>
      <c r="E49" s="183"/>
      <c r="F49" s="183"/>
      <c r="G49" s="183"/>
      <c r="H49" s="183"/>
      <c r="I49" s="183"/>
    </row>
    <row r="50" spans="1:9">
      <c r="A50" s="264" t="s">
        <v>722</v>
      </c>
      <c r="B50" s="264" t="s">
        <v>224</v>
      </c>
      <c r="C50" s="97" t="s">
        <v>1094</v>
      </c>
      <c r="D50" s="265" t="s">
        <v>552</v>
      </c>
      <c r="E50" s="183"/>
      <c r="F50" s="183"/>
      <c r="G50" s="183"/>
      <c r="H50" s="183"/>
      <c r="I50" s="183"/>
    </row>
    <row r="51" spans="1:9">
      <c r="A51" s="246"/>
      <c r="B51" s="246"/>
      <c r="C51" s="97" t="s">
        <v>1095</v>
      </c>
      <c r="D51" s="246"/>
      <c r="E51" s="183"/>
      <c r="F51" s="183"/>
      <c r="G51" s="183"/>
      <c r="H51" s="183"/>
      <c r="I51" s="183"/>
    </row>
    <row r="52" spans="1:9">
      <c r="A52" s="185"/>
      <c r="B52" s="186"/>
      <c r="C52" s="183"/>
      <c r="D52" s="183"/>
      <c r="E52" s="183"/>
      <c r="F52" s="183"/>
      <c r="G52" s="183"/>
      <c r="H52" s="183"/>
      <c r="I52" s="183"/>
    </row>
    <row r="53" spans="1:9">
      <c r="A53" s="185"/>
      <c r="B53" s="186"/>
      <c r="C53" s="183"/>
      <c r="D53" s="183"/>
      <c r="E53" s="183"/>
      <c r="F53" s="183"/>
      <c r="G53" s="183"/>
      <c r="H53" s="183"/>
      <c r="I53" s="183"/>
    </row>
    <row r="54" spans="1:9" ht="16.5">
      <c r="A54" s="266" t="s">
        <v>1181</v>
      </c>
      <c r="B54" s="267"/>
      <c r="C54" s="267"/>
      <c r="D54" s="267"/>
      <c r="E54" s="267"/>
      <c r="F54" s="267"/>
      <c r="G54" s="267"/>
      <c r="H54" s="267"/>
      <c r="I54" s="267"/>
    </row>
    <row r="55" spans="1:9">
      <c r="A55" s="185"/>
      <c r="B55" s="186"/>
      <c r="C55" s="183"/>
      <c r="D55" s="183"/>
      <c r="E55" s="183"/>
      <c r="F55" s="183"/>
      <c r="G55" s="183"/>
      <c r="H55" s="183"/>
      <c r="I55" s="183"/>
    </row>
  </sheetData>
  <mergeCells count="42">
    <mergeCell ref="A54:I54"/>
    <mergeCell ref="A28:A29"/>
    <mergeCell ref="B28:B29"/>
    <mergeCell ref="D28:D29"/>
    <mergeCell ref="A50:A51"/>
    <mergeCell ref="B50:B51"/>
    <mergeCell ref="D50:D51"/>
    <mergeCell ref="A24:A25"/>
    <mergeCell ref="B24:B25"/>
    <mergeCell ref="D24:D25"/>
    <mergeCell ref="A26:A27"/>
    <mergeCell ref="B26:B27"/>
    <mergeCell ref="D26:D27"/>
    <mergeCell ref="A20:A21"/>
    <mergeCell ref="B20:B21"/>
    <mergeCell ref="D20:D21"/>
    <mergeCell ref="A22:A23"/>
    <mergeCell ref="B22:B23"/>
    <mergeCell ref="D22:D23"/>
    <mergeCell ref="A16:A17"/>
    <mergeCell ref="B16:B17"/>
    <mergeCell ref="D16:D17"/>
    <mergeCell ref="A18:A19"/>
    <mergeCell ref="B18:B19"/>
    <mergeCell ref="D18:D19"/>
    <mergeCell ref="A12:A13"/>
    <mergeCell ref="B12:B13"/>
    <mergeCell ref="D12:D13"/>
    <mergeCell ref="A14:A15"/>
    <mergeCell ref="B14:B15"/>
    <mergeCell ref="D14:D15"/>
    <mergeCell ref="A8:A9"/>
    <mergeCell ref="B8:B9"/>
    <mergeCell ref="D8:D9"/>
    <mergeCell ref="A10:A11"/>
    <mergeCell ref="B10:B11"/>
    <mergeCell ref="D10:D11"/>
    <mergeCell ref="A2:C2"/>
    <mergeCell ref="A4:D4"/>
    <mergeCell ref="A6:A7"/>
    <mergeCell ref="B6:B7"/>
    <mergeCell ref="D6:D7"/>
  </mergeCells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17"/>
  <sheetViews>
    <sheetView showGridLines="0" workbookViewId="0">
      <selection activeCell="R9" sqref="R9"/>
    </sheetView>
  </sheetViews>
  <sheetFormatPr defaultRowHeight="15"/>
  <cols>
    <col min="1" max="1" width="3.85546875" customWidth="1"/>
    <col min="2" max="2" width="5.42578125" bestFit="1" customWidth="1"/>
    <col min="3" max="3" width="15.42578125" customWidth="1"/>
    <col min="4" max="4" width="12" customWidth="1"/>
    <col min="5" max="5" width="30.28515625" customWidth="1"/>
    <col min="6" max="6" width="13" bestFit="1" customWidth="1"/>
    <col min="7" max="7" width="19.85546875" bestFit="1" customWidth="1"/>
    <col min="8" max="8" width="18.140625" bestFit="1" customWidth="1"/>
    <col min="9" max="9" width="15.28515625" bestFit="1" customWidth="1"/>
    <col min="10" max="10" width="16.140625" bestFit="1" customWidth="1"/>
    <col min="11" max="11" width="11" customWidth="1"/>
    <col min="12" max="12" width="14.85546875" customWidth="1"/>
  </cols>
  <sheetData>
    <row r="1" spans="2:13" ht="15" customHeight="1">
      <c r="B1" s="61" t="s">
        <v>940</v>
      </c>
      <c r="C1" s="33"/>
      <c r="D1" s="33"/>
      <c r="E1" s="33"/>
      <c r="F1" s="33"/>
      <c r="G1" s="33"/>
      <c r="H1" s="33"/>
      <c r="I1" s="33"/>
      <c r="J1" s="33"/>
      <c r="K1" s="33"/>
      <c r="L1" s="33"/>
    </row>
    <row r="2" spans="2:13">
      <c r="B2" s="61" t="s">
        <v>941</v>
      </c>
    </row>
    <row r="3" spans="2:13">
      <c r="B3" s="61" t="s">
        <v>1043</v>
      </c>
    </row>
    <row r="4" spans="2:13">
      <c r="B4" s="61"/>
    </row>
    <row r="5" spans="2:13">
      <c r="B5" s="4"/>
    </row>
    <row r="6" spans="2:13" ht="15" customHeight="1">
      <c r="B6" s="221" t="s">
        <v>1356</v>
      </c>
      <c r="C6" s="222"/>
      <c r="D6" s="222"/>
      <c r="E6" s="222"/>
      <c r="F6" s="222"/>
      <c r="G6" s="222"/>
      <c r="H6" s="222"/>
      <c r="I6" s="222"/>
      <c r="J6" s="222"/>
      <c r="K6" s="222"/>
      <c r="L6" s="222"/>
      <c r="M6" s="223"/>
    </row>
    <row r="7" spans="2:13" ht="76.5" customHeight="1">
      <c r="B7" s="17" t="s">
        <v>139</v>
      </c>
      <c r="C7" s="17" t="s">
        <v>0</v>
      </c>
      <c r="D7" s="17" t="s">
        <v>334</v>
      </c>
      <c r="E7" s="17" t="s">
        <v>4</v>
      </c>
      <c r="F7" s="17" t="s">
        <v>5</v>
      </c>
      <c r="G7" s="17" t="s">
        <v>313</v>
      </c>
      <c r="H7" s="17" t="s">
        <v>557</v>
      </c>
      <c r="I7" s="17" t="s">
        <v>339</v>
      </c>
      <c r="J7" s="17" t="s">
        <v>340</v>
      </c>
      <c r="K7" s="17" t="s">
        <v>341</v>
      </c>
      <c r="L7" s="17" t="s">
        <v>1156</v>
      </c>
      <c r="M7" s="36" t="s">
        <v>681</v>
      </c>
    </row>
    <row r="8" spans="2:13" ht="101.25">
      <c r="B8" s="1">
        <v>1</v>
      </c>
      <c r="C8" s="75" t="s">
        <v>225</v>
      </c>
      <c r="D8" s="75" t="s">
        <v>529</v>
      </c>
      <c r="E8" s="93" t="s">
        <v>1098</v>
      </c>
      <c r="F8" s="39" t="s">
        <v>1</v>
      </c>
      <c r="G8" s="1" t="s">
        <v>533</v>
      </c>
      <c r="H8" s="1" t="s">
        <v>1105</v>
      </c>
      <c r="I8" s="104">
        <v>0.72560000000000002</v>
      </c>
      <c r="J8" s="95">
        <v>0.67159999999999997</v>
      </c>
      <c r="K8" s="95">
        <v>0.58179999999999998</v>
      </c>
      <c r="L8" s="20">
        <v>0.42</v>
      </c>
      <c r="M8" s="20">
        <v>0.21</v>
      </c>
    </row>
    <row r="9" spans="2:13" ht="170.25">
      <c r="B9" s="1">
        <f>B8+1</f>
        <v>2</v>
      </c>
      <c r="C9" s="75" t="s">
        <v>226</v>
      </c>
      <c r="D9" s="75">
        <v>4011</v>
      </c>
      <c r="E9" s="93" t="s">
        <v>1099</v>
      </c>
      <c r="F9" s="39" t="s">
        <v>1</v>
      </c>
      <c r="G9" s="1" t="s">
        <v>533</v>
      </c>
      <c r="H9" s="1" t="s">
        <v>1105</v>
      </c>
      <c r="I9" s="104">
        <v>0.60409999999999997</v>
      </c>
      <c r="J9" s="95">
        <v>0.55389999999999995</v>
      </c>
      <c r="K9" s="95">
        <v>0.47039999999999998</v>
      </c>
      <c r="L9" s="20">
        <v>0.32</v>
      </c>
      <c r="M9" s="20">
        <v>0.21</v>
      </c>
    </row>
    <row r="10" spans="2:13" ht="32.25">
      <c r="B10" s="1">
        <f t="shared" ref="B10:B14" si="0">B9+1</f>
        <v>3</v>
      </c>
      <c r="C10" s="75" t="s">
        <v>227</v>
      </c>
      <c r="D10" s="75" t="s">
        <v>530</v>
      </c>
      <c r="E10" s="93" t="s">
        <v>1100</v>
      </c>
      <c r="F10" s="39" t="s">
        <v>1</v>
      </c>
      <c r="G10" s="1" t="s">
        <v>533</v>
      </c>
      <c r="H10" s="1" t="s">
        <v>1105</v>
      </c>
      <c r="I10" s="104">
        <v>0.94430000000000003</v>
      </c>
      <c r="J10" s="95">
        <v>0.88349999999999995</v>
      </c>
      <c r="K10" s="95">
        <v>0.7823</v>
      </c>
      <c r="L10" s="20">
        <v>0.6</v>
      </c>
      <c r="M10" s="20">
        <v>0.21</v>
      </c>
    </row>
    <row r="11" spans="2:13" ht="51.75">
      <c r="B11" s="1">
        <f t="shared" si="0"/>
        <v>4</v>
      </c>
      <c r="C11" s="75" t="s">
        <v>228</v>
      </c>
      <c r="D11" s="75">
        <v>4011</v>
      </c>
      <c r="E11" s="93" t="s">
        <v>1101</v>
      </c>
      <c r="F11" s="39" t="s">
        <v>1</v>
      </c>
      <c r="G11" s="1" t="s">
        <v>533</v>
      </c>
      <c r="H11" s="1" t="s">
        <v>1105</v>
      </c>
      <c r="I11" s="268">
        <v>0.76200000000000001</v>
      </c>
      <c r="J11" s="269">
        <v>0.70699999999999996</v>
      </c>
      <c r="K11" s="269">
        <v>0.61519999999999997</v>
      </c>
      <c r="L11" s="20">
        <v>0.45</v>
      </c>
      <c r="M11" s="20">
        <v>0.21</v>
      </c>
    </row>
    <row r="12" spans="2:13" ht="51.75">
      <c r="B12" s="1">
        <f t="shared" si="0"/>
        <v>5</v>
      </c>
      <c r="C12" s="75" t="s">
        <v>230</v>
      </c>
      <c r="D12" s="75" t="s">
        <v>532</v>
      </c>
      <c r="E12" s="93" t="s">
        <v>1102</v>
      </c>
      <c r="F12" s="49" t="s">
        <v>138</v>
      </c>
      <c r="G12" s="1" t="s">
        <v>3</v>
      </c>
      <c r="H12" s="1" t="s">
        <v>1105</v>
      </c>
      <c r="I12" s="245"/>
      <c r="J12" s="245"/>
      <c r="K12" s="245"/>
      <c r="L12" s="20">
        <v>0.45</v>
      </c>
      <c r="M12" s="20">
        <v>0.21</v>
      </c>
    </row>
    <row r="13" spans="2:13" ht="51.75">
      <c r="B13" s="1">
        <f t="shared" si="0"/>
        <v>6</v>
      </c>
      <c r="C13" s="75" t="s">
        <v>231</v>
      </c>
      <c r="D13" s="75">
        <v>4013</v>
      </c>
      <c r="E13" s="93" t="s">
        <v>1103</v>
      </c>
      <c r="F13" s="39" t="s">
        <v>138</v>
      </c>
      <c r="G13" s="1" t="s">
        <v>3</v>
      </c>
      <c r="H13" s="1" t="s">
        <v>1105</v>
      </c>
      <c r="I13" s="246"/>
      <c r="J13" s="246"/>
      <c r="K13" s="246"/>
      <c r="L13" s="20">
        <v>0.45</v>
      </c>
      <c r="M13" s="20">
        <v>0.21</v>
      </c>
    </row>
    <row r="14" spans="2:13" ht="63.75">
      <c r="B14" s="1">
        <f t="shared" si="0"/>
        <v>7</v>
      </c>
      <c r="C14" s="75" t="s">
        <v>229</v>
      </c>
      <c r="D14" s="75" t="s">
        <v>531</v>
      </c>
      <c r="E14" s="93" t="s">
        <v>1104</v>
      </c>
      <c r="F14" s="39" t="s">
        <v>1</v>
      </c>
      <c r="G14" s="1" t="s">
        <v>533</v>
      </c>
      <c r="H14" s="75" t="s">
        <v>1106</v>
      </c>
      <c r="I14" s="104">
        <v>0.57969999999999999</v>
      </c>
      <c r="J14" s="95">
        <v>0.53039999999999998</v>
      </c>
      <c r="K14" s="95">
        <v>0.4481</v>
      </c>
      <c r="L14" s="20">
        <v>0.3</v>
      </c>
      <c r="M14" s="20">
        <v>0.21</v>
      </c>
    </row>
    <row r="16" spans="2:13" ht="15.75">
      <c r="B16" s="292" t="s">
        <v>1107</v>
      </c>
      <c r="C16" s="293"/>
      <c r="D16" s="293"/>
      <c r="E16" s="294"/>
      <c r="F16" s="295" t="s">
        <v>1108</v>
      </c>
      <c r="G16" s="295" t="s">
        <v>1109</v>
      </c>
      <c r="H16" s="295" t="s">
        <v>1110</v>
      </c>
      <c r="I16" s="295" t="s">
        <v>1111</v>
      </c>
      <c r="J16" s="295" t="s">
        <v>1112</v>
      </c>
    </row>
    <row r="17" spans="2:10" ht="122.25" customHeight="1">
      <c r="B17" s="296"/>
      <c r="C17" s="297"/>
      <c r="D17" s="297"/>
      <c r="E17" s="298"/>
      <c r="F17" s="295" t="s">
        <v>1113</v>
      </c>
      <c r="G17" s="299">
        <v>8.7800000000000003E-2</v>
      </c>
      <c r="H17" s="299">
        <v>9.2999999999999999E-2</v>
      </c>
      <c r="I17" s="299">
        <v>8.5000000000000006E-2</v>
      </c>
      <c r="J17" s="300" t="s">
        <v>1114</v>
      </c>
    </row>
  </sheetData>
  <mergeCells count="5">
    <mergeCell ref="B6:M6"/>
    <mergeCell ref="B16:E17"/>
    <mergeCell ref="I11:I13"/>
    <mergeCell ref="K11:K13"/>
    <mergeCell ref="J11:J1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20"/>
  <sheetViews>
    <sheetView showGridLines="0" workbookViewId="0">
      <selection activeCell="A4" sqref="A4:XFD4"/>
    </sheetView>
  </sheetViews>
  <sheetFormatPr defaultRowHeight="15"/>
  <cols>
    <col min="1" max="1" width="3.85546875" customWidth="1"/>
    <col min="2" max="2" width="5.42578125" bestFit="1" customWidth="1"/>
    <col min="3" max="3" width="11.140625" customWidth="1"/>
    <col min="4" max="4" width="13" customWidth="1"/>
    <col min="5" max="5" width="33.140625" customWidth="1"/>
    <col min="6" max="6" width="9.140625" customWidth="1"/>
    <col min="7" max="7" width="14.5703125" customWidth="1"/>
    <col min="8" max="8" width="19.42578125" customWidth="1"/>
    <col min="9" max="9" width="8.85546875" customWidth="1"/>
    <col min="10" max="11" width="9.140625" customWidth="1"/>
    <col min="12" max="12" width="10.85546875" customWidth="1"/>
    <col min="13" max="13" width="16.85546875" customWidth="1"/>
  </cols>
  <sheetData>
    <row r="1" spans="2:13">
      <c r="B1" s="61" t="s">
        <v>940</v>
      </c>
    </row>
    <row r="2" spans="2:13">
      <c r="B2" s="61" t="s">
        <v>941</v>
      </c>
    </row>
    <row r="3" spans="2:13">
      <c r="B3" s="61" t="s">
        <v>1043</v>
      </c>
    </row>
    <row r="4" spans="2:13">
      <c r="B4" s="61"/>
    </row>
    <row r="5" spans="2:13">
      <c r="B5" s="214" t="s">
        <v>1124</v>
      </c>
      <c r="C5" s="214"/>
      <c r="D5" s="214"/>
      <c r="E5" s="214"/>
      <c r="F5" s="214"/>
      <c r="G5" s="214"/>
      <c r="H5" s="214"/>
      <c r="I5" s="214"/>
      <c r="J5" s="214"/>
      <c r="K5" s="214"/>
      <c r="L5" s="214"/>
      <c r="M5" s="35"/>
    </row>
    <row r="6" spans="2:13" ht="99.75" customHeight="1">
      <c r="B6" s="17" t="s">
        <v>139</v>
      </c>
      <c r="C6" s="17" t="s">
        <v>0</v>
      </c>
      <c r="D6" s="17"/>
      <c r="E6" s="17" t="s">
        <v>4</v>
      </c>
      <c r="F6" s="17" t="s">
        <v>5</v>
      </c>
      <c r="G6" s="17" t="s">
        <v>644</v>
      </c>
      <c r="H6" s="27" t="s">
        <v>557</v>
      </c>
      <c r="I6" s="11" t="s">
        <v>331</v>
      </c>
      <c r="J6" s="11" t="s">
        <v>332</v>
      </c>
      <c r="K6" s="11" t="s">
        <v>333</v>
      </c>
      <c r="L6" s="11" t="s">
        <v>938</v>
      </c>
      <c r="M6" s="67" t="s">
        <v>1127</v>
      </c>
    </row>
    <row r="7" spans="2:13" ht="22.5">
      <c r="B7" s="54">
        <v>1</v>
      </c>
      <c r="C7" s="75" t="s">
        <v>609</v>
      </c>
      <c r="D7" s="75" t="s">
        <v>610</v>
      </c>
      <c r="E7" s="75" t="s">
        <v>611</v>
      </c>
      <c r="F7" s="53" t="s">
        <v>1</v>
      </c>
      <c r="G7" s="1" t="s">
        <v>635</v>
      </c>
      <c r="H7" s="1" t="s">
        <v>1115</v>
      </c>
      <c r="I7" s="51">
        <v>0.61619999999999997</v>
      </c>
      <c r="J7" s="51">
        <v>0.56569999999999998</v>
      </c>
      <c r="K7" s="51">
        <v>0.48149999999999998</v>
      </c>
      <c r="L7" s="51">
        <v>0.33</v>
      </c>
      <c r="M7" s="52">
        <v>0.21</v>
      </c>
    </row>
    <row r="8" spans="2:13" ht="34.5" customHeight="1">
      <c r="B8" s="54">
        <v>2</v>
      </c>
      <c r="C8" s="75" t="s">
        <v>612</v>
      </c>
      <c r="D8" s="75" t="s">
        <v>613</v>
      </c>
      <c r="E8" s="75" t="s">
        <v>614</v>
      </c>
      <c r="F8" s="53" t="s">
        <v>1</v>
      </c>
      <c r="G8" s="1" t="s">
        <v>635</v>
      </c>
      <c r="H8" s="1" t="s">
        <v>1115</v>
      </c>
      <c r="I8" s="51">
        <v>0.61619999999999997</v>
      </c>
      <c r="J8" s="51">
        <v>0.56569999999999998</v>
      </c>
      <c r="K8" s="51">
        <v>0.48149999999999998</v>
      </c>
      <c r="L8" s="51">
        <v>0.33</v>
      </c>
      <c r="M8" s="52">
        <v>0.21</v>
      </c>
    </row>
    <row r="9" spans="2:13" ht="25.5">
      <c r="B9" s="54">
        <v>3</v>
      </c>
      <c r="C9" s="75" t="s">
        <v>615</v>
      </c>
      <c r="D9" s="75" t="s">
        <v>616</v>
      </c>
      <c r="E9" s="75" t="s">
        <v>617</v>
      </c>
      <c r="F9" s="53" t="s">
        <v>1</v>
      </c>
      <c r="G9" s="1" t="s">
        <v>635</v>
      </c>
      <c r="H9" s="1" t="s">
        <v>1115</v>
      </c>
      <c r="I9" s="51">
        <v>0.61619999999999997</v>
      </c>
      <c r="J9" s="51">
        <v>0.56569999999999998</v>
      </c>
      <c r="K9" s="51">
        <v>0.48149999999999998</v>
      </c>
      <c r="L9" s="51">
        <v>0.33</v>
      </c>
      <c r="M9" s="52">
        <v>0.21</v>
      </c>
    </row>
    <row r="10" spans="2:13" ht="25.5">
      <c r="B10" s="54" t="s">
        <v>317</v>
      </c>
      <c r="C10" s="105" t="s">
        <v>632</v>
      </c>
      <c r="D10" s="105" t="s">
        <v>633</v>
      </c>
      <c r="E10" s="105" t="s">
        <v>634</v>
      </c>
      <c r="F10" s="53" t="s">
        <v>1</v>
      </c>
      <c r="G10" s="1" t="s">
        <v>635</v>
      </c>
      <c r="H10" s="1" t="s">
        <v>1115</v>
      </c>
      <c r="I10" s="51">
        <v>0.71799999999999997</v>
      </c>
      <c r="J10" s="51">
        <v>0.6643</v>
      </c>
      <c r="K10" s="51">
        <v>0.57489999999999997</v>
      </c>
      <c r="L10" s="51">
        <v>0.4138</v>
      </c>
      <c r="M10" s="52">
        <v>0.21</v>
      </c>
    </row>
    <row r="11" spans="2:13" ht="22.5">
      <c r="B11" s="54" t="s">
        <v>318</v>
      </c>
      <c r="C11" s="105" t="s">
        <v>629</v>
      </c>
      <c r="D11" s="105" t="s">
        <v>630</v>
      </c>
      <c r="E11" s="105" t="s">
        <v>631</v>
      </c>
      <c r="F11" s="53" t="s">
        <v>1</v>
      </c>
      <c r="G11" s="1" t="s">
        <v>635</v>
      </c>
      <c r="H11" s="1" t="s">
        <v>1115</v>
      </c>
      <c r="I11" s="51">
        <v>0.71799999999999997</v>
      </c>
      <c r="J11" s="51">
        <v>0.6643</v>
      </c>
      <c r="K11" s="51">
        <v>0.57489999999999997</v>
      </c>
      <c r="L11" s="51">
        <v>0.4138</v>
      </c>
      <c r="M11" s="52">
        <v>0.21</v>
      </c>
    </row>
    <row r="12" spans="2:13" ht="25.5">
      <c r="B12" s="54" t="s">
        <v>319</v>
      </c>
      <c r="C12" s="105" t="s">
        <v>618</v>
      </c>
      <c r="D12" s="105" t="s">
        <v>619</v>
      </c>
      <c r="E12" s="105" t="s">
        <v>620</v>
      </c>
      <c r="F12" s="53" t="s">
        <v>1</v>
      </c>
      <c r="G12" s="1" t="s">
        <v>635</v>
      </c>
      <c r="H12" s="1" t="s">
        <v>1115</v>
      </c>
      <c r="I12" s="51">
        <v>0.71799999999999997</v>
      </c>
      <c r="J12" s="51">
        <v>0.6643</v>
      </c>
      <c r="K12" s="51">
        <v>0.57489999999999997</v>
      </c>
      <c r="L12" s="51">
        <v>0.4138</v>
      </c>
      <c r="M12" s="52">
        <v>0.21</v>
      </c>
    </row>
    <row r="13" spans="2:13" ht="38.25">
      <c r="B13" s="54" t="s">
        <v>624</v>
      </c>
      <c r="C13" s="105" t="s">
        <v>1116</v>
      </c>
      <c r="D13" s="105" t="s">
        <v>1117</v>
      </c>
      <c r="E13" s="105" t="s">
        <v>621</v>
      </c>
      <c r="F13" s="53" t="s">
        <v>1</v>
      </c>
      <c r="G13" s="1" t="s">
        <v>635</v>
      </c>
      <c r="H13" s="1" t="s">
        <v>1115</v>
      </c>
      <c r="I13" s="51">
        <v>0.71799999999999997</v>
      </c>
      <c r="J13" s="51">
        <v>0.6643</v>
      </c>
      <c r="K13" s="51">
        <v>0.57489999999999997</v>
      </c>
      <c r="L13" s="51">
        <v>0.4138</v>
      </c>
      <c r="M13" s="52">
        <v>0.21</v>
      </c>
    </row>
    <row r="14" spans="2:13" ht="22.5">
      <c r="B14" s="54" t="s">
        <v>320</v>
      </c>
      <c r="C14" s="105" t="s">
        <v>622</v>
      </c>
      <c r="D14" s="105" t="s">
        <v>623</v>
      </c>
      <c r="E14" s="105" t="s">
        <v>1120</v>
      </c>
      <c r="F14" s="53" t="s">
        <v>1</v>
      </c>
      <c r="G14" s="1" t="s">
        <v>635</v>
      </c>
      <c r="H14" s="1" t="s">
        <v>1115</v>
      </c>
      <c r="I14" s="51">
        <v>0.71799999999999997</v>
      </c>
      <c r="J14" s="51">
        <v>0.6643</v>
      </c>
      <c r="K14" s="51">
        <v>0.57489999999999997</v>
      </c>
      <c r="L14" s="51">
        <v>0.4138</v>
      </c>
      <c r="M14" s="52">
        <v>0.21</v>
      </c>
    </row>
    <row r="15" spans="2:13" ht="22.5">
      <c r="B15" s="54" t="s">
        <v>321</v>
      </c>
      <c r="C15" s="105" t="s">
        <v>625</v>
      </c>
      <c r="D15" s="105" t="s">
        <v>623</v>
      </c>
      <c r="E15" s="105" t="s">
        <v>626</v>
      </c>
      <c r="F15" s="53" t="s">
        <v>1</v>
      </c>
      <c r="G15" s="1" t="s">
        <v>635</v>
      </c>
      <c r="H15" s="1" t="s">
        <v>1115</v>
      </c>
      <c r="I15" s="51">
        <v>0.71799999999999997</v>
      </c>
      <c r="J15" s="51">
        <v>0.6643</v>
      </c>
      <c r="K15" s="51">
        <v>0.57489999999999997</v>
      </c>
      <c r="L15" s="51">
        <v>0.4138</v>
      </c>
      <c r="M15" s="52">
        <v>0.21</v>
      </c>
    </row>
    <row r="16" spans="2:13" ht="63.75">
      <c r="B16" s="54" t="s">
        <v>322</v>
      </c>
      <c r="C16" s="105" t="s">
        <v>1118</v>
      </c>
      <c r="D16" s="105" t="s">
        <v>1119</v>
      </c>
      <c r="E16" s="105" t="s">
        <v>1121</v>
      </c>
      <c r="F16" s="53" t="s">
        <v>1</v>
      </c>
      <c r="G16" s="1" t="s">
        <v>635</v>
      </c>
      <c r="H16" s="1" t="s">
        <v>1115</v>
      </c>
      <c r="I16" s="51">
        <v>0.71799999999999997</v>
      </c>
      <c r="J16" s="51">
        <v>0.6643</v>
      </c>
      <c r="K16" s="51">
        <v>0.57489999999999997</v>
      </c>
      <c r="L16" s="51">
        <v>0.4138</v>
      </c>
      <c r="M16" s="52">
        <v>0.21</v>
      </c>
    </row>
    <row r="17" spans="2:13" ht="22.5">
      <c r="B17" s="54" t="s">
        <v>325</v>
      </c>
      <c r="C17" s="105" t="s">
        <v>627</v>
      </c>
      <c r="D17" s="105" t="s">
        <v>623</v>
      </c>
      <c r="E17" s="105" t="s">
        <v>1122</v>
      </c>
      <c r="F17" s="53" t="s">
        <v>1</v>
      </c>
      <c r="G17" s="1" t="s">
        <v>635</v>
      </c>
      <c r="H17" s="1" t="s">
        <v>1115</v>
      </c>
      <c r="I17" s="51">
        <v>0.71799999999999997</v>
      </c>
      <c r="J17" s="51">
        <v>0.6643</v>
      </c>
      <c r="K17" s="51">
        <v>0.57489999999999997</v>
      </c>
      <c r="L17" s="51">
        <v>0.4138</v>
      </c>
      <c r="M17" s="52">
        <v>0.21</v>
      </c>
    </row>
    <row r="18" spans="2:13" ht="22.5">
      <c r="B18" s="54" t="s">
        <v>326</v>
      </c>
      <c r="C18" s="105" t="s">
        <v>628</v>
      </c>
      <c r="D18" s="105" t="s">
        <v>623</v>
      </c>
      <c r="E18" s="105" t="s">
        <v>1123</v>
      </c>
      <c r="F18" s="53" t="s">
        <v>1</v>
      </c>
      <c r="G18" s="1" t="s">
        <v>635</v>
      </c>
      <c r="H18" s="1" t="s">
        <v>1115</v>
      </c>
      <c r="I18" s="51">
        <v>0.71799999999999997</v>
      </c>
      <c r="J18" s="51">
        <v>0.6643</v>
      </c>
      <c r="K18" s="51">
        <v>0.57489999999999997</v>
      </c>
      <c r="L18" s="51">
        <v>0.4138</v>
      </c>
      <c r="M18" s="52">
        <v>0.21</v>
      </c>
    </row>
    <row r="19" spans="2:13">
      <c r="B19" s="114"/>
      <c r="C19" s="115"/>
      <c r="D19" s="115"/>
      <c r="E19" s="115"/>
      <c r="F19" s="116"/>
      <c r="G19" s="117"/>
      <c r="H19" s="117"/>
      <c r="I19" s="118"/>
      <c r="J19" s="118"/>
      <c r="K19" s="118"/>
      <c r="L19" s="118"/>
      <c r="M19" s="119"/>
    </row>
    <row r="20" spans="2:13" ht="48.75" customHeight="1">
      <c r="B20" s="37" t="s">
        <v>328</v>
      </c>
      <c r="C20" s="37" t="s">
        <v>254</v>
      </c>
      <c r="D20" s="37" t="s">
        <v>329</v>
      </c>
      <c r="E20" s="37" t="s">
        <v>330</v>
      </c>
      <c r="F20" s="41" t="s">
        <v>1</v>
      </c>
      <c r="G20" s="1" t="s">
        <v>1126</v>
      </c>
      <c r="H20" s="1" t="s">
        <v>1125</v>
      </c>
      <c r="I20" s="51">
        <v>0.70130000000000003</v>
      </c>
      <c r="J20" s="51">
        <v>0.53039999999999998</v>
      </c>
      <c r="K20" s="51">
        <v>0.4481</v>
      </c>
      <c r="L20" s="52">
        <v>0.3</v>
      </c>
      <c r="M20" s="52">
        <v>0.21</v>
      </c>
    </row>
  </sheetData>
  <autoFilter ref="B6:L6"/>
  <mergeCells count="1">
    <mergeCell ref="B5:L5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8"/>
  <sheetViews>
    <sheetView showGridLines="0" workbookViewId="0">
      <selection activeCell="H18" sqref="H18"/>
    </sheetView>
  </sheetViews>
  <sheetFormatPr defaultRowHeight="15"/>
  <cols>
    <col min="1" max="1" width="3.85546875" customWidth="1"/>
    <col min="2" max="2" width="5.42578125" bestFit="1" customWidth="1"/>
    <col min="3" max="3" width="7.85546875" bestFit="1" customWidth="1"/>
    <col min="4" max="4" width="7.85546875" customWidth="1"/>
    <col min="5" max="5" width="12.42578125" customWidth="1"/>
    <col min="6" max="7" width="9.140625" customWidth="1"/>
    <col min="8" max="9" width="22.140625" customWidth="1"/>
    <col min="10" max="10" width="9.5703125" bestFit="1" customWidth="1"/>
    <col min="11" max="11" width="9.140625" customWidth="1"/>
    <col min="12" max="12" width="9.85546875" customWidth="1"/>
    <col min="13" max="13" width="14.85546875" customWidth="1"/>
    <col min="14" max="14" width="7.85546875" customWidth="1"/>
  </cols>
  <sheetData>
    <row r="1" spans="2:14">
      <c r="B1" s="61" t="s">
        <v>685</v>
      </c>
    </row>
    <row r="2" spans="2:14">
      <c r="B2" s="61" t="s">
        <v>941</v>
      </c>
    </row>
    <row r="3" spans="2:14">
      <c r="B3" s="61" t="s">
        <v>1043</v>
      </c>
    </row>
    <row r="4" spans="2:14">
      <c r="B4" s="61"/>
    </row>
    <row r="5" spans="2:14">
      <c r="B5" s="214" t="s">
        <v>1357</v>
      </c>
      <c r="C5" s="214"/>
      <c r="D5" s="214"/>
      <c r="E5" s="214"/>
      <c r="F5" s="214"/>
      <c r="G5" s="214"/>
      <c r="H5" s="214"/>
      <c r="I5" s="214"/>
      <c r="J5" s="214"/>
      <c r="K5" s="214"/>
      <c r="L5" s="214"/>
      <c r="M5" s="214"/>
      <c r="N5" s="214"/>
    </row>
    <row r="6" spans="2:14" ht="27" customHeight="1">
      <c r="B6" s="233" t="s">
        <v>606</v>
      </c>
      <c r="C6" s="234"/>
      <c r="D6" s="234"/>
      <c r="E6" s="234"/>
      <c r="F6" s="234"/>
      <c r="G6" s="234"/>
      <c r="H6" s="234"/>
      <c r="I6" s="234"/>
      <c r="J6" s="234"/>
      <c r="K6" s="234"/>
      <c r="L6" s="234"/>
      <c r="M6" s="234"/>
      <c r="N6" s="234"/>
    </row>
    <row r="7" spans="2:14" ht="63.75">
      <c r="B7" s="17" t="s">
        <v>139</v>
      </c>
      <c r="C7" s="17" t="s">
        <v>0</v>
      </c>
      <c r="D7" s="17" t="s">
        <v>334</v>
      </c>
      <c r="E7" s="36" t="s">
        <v>4</v>
      </c>
      <c r="F7" s="17" t="s">
        <v>5</v>
      </c>
      <c r="G7" s="17" t="s">
        <v>342</v>
      </c>
      <c r="H7" s="17" t="s">
        <v>683</v>
      </c>
      <c r="I7" s="17" t="s">
        <v>557</v>
      </c>
      <c r="J7" s="17" t="s">
        <v>339</v>
      </c>
      <c r="K7" s="17" t="s">
        <v>340</v>
      </c>
      <c r="L7" s="29" t="s">
        <v>341</v>
      </c>
      <c r="M7" s="17" t="s">
        <v>938</v>
      </c>
      <c r="N7" s="13" t="s">
        <v>344</v>
      </c>
    </row>
    <row r="8" spans="2:14" ht="48.75">
      <c r="B8" s="1">
        <v>1</v>
      </c>
      <c r="C8" s="20" t="s">
        <v>255</v>
      </c>
      <c r="D8" s="50">
        <v>2309</v>
      </c>
      <c r="E8" s="43" t="s">
        <v>343</v>
      </c>
      <c r="F8" s="1" t="s">
        <v>1</v>
      </c>
      <c r="G8" s="1" t="s">
        <v>607</v>
      </c>
      <c r="H8" s="1" t="s">
        <v>256</v>
      </c>
      <c r="I8" s="1" t="s">
        <v>1128</v>
      </c>
      <c r="J8" s="26">
        <v>0.7742</v>
      </c>
      <c r="K8" s="12">
        <v>0.71870000000000001</v>
      </c>
      <c r="L8" s="20">
        <v>0.62629999999999997</v>
      </c>
      <c r="M8" s="2">
        <v>0.46</v>
      </c>
      <c r="N8" s="2">
        <v>0.21</v>
      </c>
    </row>
  </sheetData>
  <mergeCells count="2">
    <mergeCell ref="B5:N5"/>
    <mergeCell ref="B6:N6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13"/>
  <sheetViews>
    <sheetView showGridLines="0" workbookViewId="0">
      <selection activeCell="A4" sqref="A4:XFD4"/>
    </sheetView>
  </sheetViews>
  <sheetFormatPr defaultRowHeight="15"/>
  <cols>
    <col min="1" max="1" width="3.85546875" customWidth="1"/>
    <col min="2" max="2" width="5.42578125" bestFit="1" customWidth="1"/>
    <col min="3" max="3" width="7.85546875" bestFit="1" customWidth="1"/>
    <col min="4" max="4" width="9.5703125" customWidth="1"/>
    <col min="5" max="5" width="29.7109375" customWidth="1"/>
    <col min="6" max="6" width="9.140625" customWidth="1"/>
    <col min="7" max="7" width="22.140625" customWidth="1"/>
    <col min="8" max="8" width="24.140625" customWidth="1"/>
    <col min="9" max="9" width="11.85546875" customWidth="1"/>
    <col min="10" max="10" width="9.85546875" customWidth="1"/>
    <col min="11" max="12" width="11.5703125" customWidth="1"/>
  </cols>
  <sheetData>
    <row r="1" spans="2:14">
      <c r="B1" s="61" t="s">
        <v>940</v>
      </c>
    </row>
    <row r="2" spans="2:14">
      <c r="B2" s="61" t="s">
        <v>941</v>
      </c>
    </row>
    <row r="3" spans="2:14">
      <c r="B3" s="61" t="s">
        <v>1043</v>
      </c>
    </row>
    <row r="4" spans="2:14">
      <c r="B4" s="61"/>
    </row>
    <row r="5" spans="2:14">
      <c r="B5" s="214" t="s">
        <v>1153</v>
      </c>
      <c r="C5" s="214"/>
      <c r="D5" s="214"/>
      <c r="E5" s="214"/>
      <c r="F5" s="214"/>
      <c r="G5" s="214"/>
      <c r="H5" s="214"/>
      <c r="I5" s="214"/>
      <c r="J5" s="214"/>
      <c r="K5" s="214"/>
      <c r="L5" s="214"/>
    </row>
    <row r="6" spans="2:14" ht="53.25" customHeight="1">
      <c r="B6" s="270" t="s">
        <v>259</v>
      </c>
      <c r="C6" s="271"/>
      <c r="D6" s="271"/>
      <c r="E6" s="271"/>
      <c r="F6" s="271"/>
      <c r="G6" s="271"/>
      <c r="H6" s="271"/>
      <c r="I6" s="271"/>
      <c r="J6" s="271"/>
      <c r="K6" s="271"/>
      <c r="L6" s="271"/>
      <c r="M6" s="271"/>
      <c r="N6" s="4"/>
    </row>
    <row r="7" spans="2:14" ht="38.25">
      <c r="B7" s="17" t="s">
        <v>139</v>
      </c>
      <c r="C7" s="17" t="s">
        <v>0</v>
      </c>
      <c r="D7" s="36" t="s">
        <v>334</v>
      </c>
      <c r="E7" s="36" t="s">
        <v>4</v>
      </c>
      <c r="F7" s="36" t="s">
        <v>5</v>
      </c>
      <c r="G7" s="17" t="s">
        <v>1155</v>
      </c>
      <c r="H7" s="17" t="s">
        <v>557</v>
      </c>
      <c r="I7" s="17" t="s">
        <v>339</v>
      </c>
      <c r="J7" s="17" t="s">
        <v>340</v>
      </c>
      <c r="K7" s="29" t="s">
        <v>341</v>
      </c>
      <c r="L7" s="17" t="s">
        <v>1040</v>
      </c>
      <c r="M7" s="36" t="s">
        <v>344</v>
      </c>
    </row>
    <row r="8" spans="2:14" ht="39.75" customHeight="1">
      <c r="B8" s="1">
        <v>1</v>
      </c>
      <c r="C8" s="20" t="s">
        <v>257</v>
      </c>
      <c r="D8" s="20" t="s">
        <v>558</v>
      </c>
      <c r="E8" s="44" t="s">
        <v>559</v>
      </c>
      <c r="F8" s="1" t="s">
        <v>1</v>
      </c>
      <c r="G8" s="1" t="s">
        <v>1154</v>
      </c>
      <c r="H8" s="1" t="s">
        <v>1130</v>
      </c>
      <c r="I8" s="12">
        <v>1.0658000000000001</v>
      </c>
      <c r="J8" s="20">
        <v>1.0013000000000001</v>
      </c>
      <c r="K8" s="12">
        <v>0.89370000000000005</v>
      </c>
      <c r="L8" s="2">
        <v>0.7</v>
      </c>
      <c r="M8" s="2">
        <v>0.21</v>
      </c>
    </row>
    <row r="9" spans="2:14" ht="51.75" customHeight="1">
      <c r="B9" s="1">
        <v>2</v>
      </c>
      <c r="C9" s="20" t="s">
        <v>258</v>
      </c>
      <c r="D9" s="20" t="s">
        <v>1129</v>
      </c>
      <c r="E9" s="44" t="s">
        <v>560</v>
      </c>
      <c r="F9" s="1" t="s">
        <v>1</v>
      </c>
      <c r="G9" s="1" t="s">
        <v>1154</v>
      </c>
      <c r="H9" s="1" t="s">
        <v>1130</v>
      </c>
      <c r="I9" s="12">
        <v>1.0658000000000001</v>
      </c>
      <c r="J9" s="20">
        <v>1.0013000000000001</v>
      </c>
      <c r="K9" s="12">
        <v>0.89370000000000005</v>
      </c>
      <c r="L9" s="2">
        <v>0.7</v>
      </c>
      <c r="M9" s="2">
        <v>0.21</v>
      </c>
    </row>
    <row r="12" spans="2:14">
      <c r="C12" s="21"/>
      <c r="D12" s="21"/>
      <c r="E12" s="21"/>
    </row>
    <row r="13" spans="2:14">
      <c r="C13" s="21"/>
      <c r="D13" s="21"/>
      <c r="E13" s="21"/>
    </row>
  </sheetData>
  <autoFilter ref="B7:L9"/>
  <mergeCells count="2">
    <mergeCell ref="B5:L5"/>
    <mergeCell ref="B6:M6"/>
  </mergeCells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15"/>
  <sheetViews>
    <sheetView showGridLines="0" workbookViewId="0">
      <selection activeCell="T9" sqref="T9"/>
    </sheetView>
  </sheetViews>
  <sheetFormatPr defaultRowHeight="15"/>
  <cols>
    <col min="1" max="1" width="3.85546875" customWidth="1"/>
    <col min="2" max="2" width="5.42578125" bestFit="1" customWidth="1"/>
    <col min="3" max="3" width="19.140625" customWidth="1"/>
    <col min="4" max="4" width="21.28515625" customWidth="1"/>
    <col min="5" max="5" width="19.140625" customWidth="1"/>
    <col min="6" max="6" width="9.140625" customWidth="1"/>
    <col min="7" max="7" width="17.5703125" customWidth="1"/>
    <col min="8" max="8" width="11.85546875" customWidth="1"/>
    <col min="9" max="9" width="10.140625" customWidth="1"/>
    <col min="10" max="10" width="9.85546875" customWidth="1"/>
    <col min="11" max="11" width="9.5703125" customWidth="1"/>
    <col min="12" max="12" width="11.140625" customWidth="1"/>
  </cols>
  <sheetData>
    <row r="1" spans="2:13">
      <c r="B1" s="61" t="s">
        <v>940</v>
      </c>
    </row>
    <row r="2" spans="2:13">
      <c r="B2" s="61" t="s">
        <v>941</v>
      </c>
    </row>
    <row r="3" spans="2:13">
      <c r="B3" s="61" t="s">
        <v>1043</v>
      </c>
    </row>
    <row r="4" spans="2:13">
      <c r="B4" s="61"/>
    </row>
    <row r="5" spans="2:13" ht="15" customHeight="1">
      <c r="B5" s="221" t="s">
        <v>1358</v>
      </c>
      <c r="C5" s="222"/>
      <c r="D5" s="222"/>
      <c r="E5" s="222"/>
      <c r="F5" s="222"/>
      <c r="G5" s="222"/>
      <c r="H5" s="222"/>
      <c r="I5" s="222"/>
      <c r="J5" s="222"/>
      <c r="K5" s="222"/>
      <c r="L5" s="222"/>
      <c r="M5" s="223"/>
    </row>
    <row r="6" spans="2:13" ht="89.25">
      <c r="B6" s="66" t="s">
        <v>139</v>
      </c>
      <c r="C6" s="36" t="s">
        <v>0</v>
      </c>
      <c r="D6" s="36" t="s">
        <v>334</v>
      </c>
      <c r="E6" s="36" t="s">
        <v>4</v>
      </c>
      <c r="F6" s="36" t="s">
        <v>5</v>
      </c>
      <c r="G6" s="63" t="s">
        <v>684</v>
      </c>
      <c r="H6" s="36" t="s">
        <v>557</v>
      </c>
      <c r="I6" s="36" t="s">
        <v>339</v>
      </c>
      <c r="J6" s="36" t="s">
        <v>340</v>
      </c>
      <c r="K6" s="62" t="s">
        <v>341</v>
      </c>
      <c r="L6" s="36" t="s">
        <v>938</v>
      </c>
      <c r="M6" s="36" t="s">
        <v>344</v>
      </c>
    </row>
    <row r="7" spans="2:13" ht="60.75" customHeight="1">
      <c r="B7" s="1">
        <v>1</v>
      </c>
      <c r="C7" s="75" t="s">
        <v>260</v>
      </c>
      <c r="D7" s="75" t="s">
        <v>1131</v>
      </c>
      <c r="E7" s="75" t="s">
        <v>1136</v>
      </c>
      <c r="F7" s="39" t="s">
        <v>1</v>
      </c>
      <c r="G7" s="1" t="s">
        <v>602</v>
      </c>
      <c r="H7" s="20" t="s">
        <v>1139</v>
      </c>
      <c r="I7" s="12">
        <v>0.64049999999999996</v>
      </c>
      <c r="J7" s="12">
        <v>0.58919999999999995</v>
      </c>
      <c r="K7" s="12">
        <v>0.50380000000000003</v>
      </c>
      <c r="L7" s="2">
        <v>0.35</v>
      </c>
      <c r="M7" s="2">
        <v>0.21</v>
      </c>
    </row>
    <row r="8" spans="2:13" ht="135" customHeight="1">
      <c r="B8" s="1">
        <v>2</v>
      </c>
      <c r="C8" s="76" t="s">
        <v>261</v>
      </c>
      <c r="D8" s="76" t="s">
        <v>1132</v>
      </c>
      <c r="E8" s="76" t="s">
        <v>1137</v>
      </c>
      <c r="F8" s="39" t="s">
        <v>1</v>
      </c>
      <c r="G8" s="1" t="s">
        <v>602</v>
      </c>
      <c r="H8" s="20" t="s">
        <v>1139</v>
      </c>
      <c r="I8" s="12">
        <v>0.64049999999999996</v>
      </c>
      <c r="J8" s="12">
        <v>0.58919999999999995</v>
      </c>
      <c r="K8" s="12">
        <v>0.50380000000000003</v>
      </c>
      <c r="L8" s="2">
        <v>0.35</v>
      </c>
      <c r="M8" s="2">
        <v>0.21</v>
      </c>
    </row>
    <row r="9" spans="2:13" ht="123" customHeight="1">
      <c r="B9" s="106">
        <v>3</v>
      </c>
      <c r="C9" s="107" t="s">
        <v>1133</v>
      </c>
      <c r="D9" s="107" t="s">
        <v>1134</v>
      </c>
      <c r="E9" s="107" t="s">
        <v>1138</v>
      </c>
      <c r="F9" s="108" t="s">
        <v>1</v>
      </c>
      <c r="G9" s="108" t="s">
        <v>602</v>
      </c>
      <c r="H9" s="20" t="s">
        <v>1139</v>
      </c>
      <c r="I9" s="12">
        <v>0.64049999999999996</v>
      </c>
      <c r="J9" s="12">
        <v>0.58919999999999995</v>
      </c>
      <c r="K9" s="12">
        <v>0.50380000000000003</v>
      </c>
      <c r="L9" s="2">
        <v>0.35</v>
      </c>
      <c r="M9" s="2">
        <v>0.21</v>
      </c>
    </row>
    <row r="10" spans="2:13" ht="61.5" customHeight="1">
      <c r="B10" s="109">
        <v>4</v>
      </c>
      <c r="C10" s="110" t="s">
        <v>262</v>
      </c>
      <c r="D10" s="110" t="s">
        <v>1135</v>
      </c>
      <c r="E10" s="110" t="s">
        <v>345</v>
      </c>
      <c r="F10" s="1" t="s">
        <v>1</v>
      </c>
      <c r="G10" s="1" t="s">
        <v>1140</v>
      </c>
      <c r="H10" s="20" t="s">
        <v>1139</v>
      </c>
      <c r="I10" s="12">
        <v>0.82279999999999998</v>
      </c>
      <c r="J10" s="12">
        <v>0.76580000000000004</v>
      </c>
      <c r="K10" s="12">
        <v>0.67090000000000005</v>
      </c>
      <c r="L10" s="2">
        <v>0.5</v>
      </c>
      <c r="M10" s="2">
        <v>0.21</v>
      </c>
    </row>
    <row r="13" spans="2:13">
      <c r="C13" s="21"/>
      <c r="D13" s="21"/>
      <c r="E13" s="21"/>
    </row>
    <row r="14" spans="2:13">
      <c r="C14" s="21"/>
      <c r="D14" s="21"/>
      <c r="E14" s="21"/>
    </row>
    <row r="15" spans="2:13">
      <c r="C15" s="21"/>
      <c r="D15" s="21"/>
      <c r="E15" s="21"/>
    </row>
  </sheetData>
  <mergeCells count="1">
    <mergeCell ref="B5:M5"/>
  </mergeCells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36"/>
  <sheetViews>
    <sheetView showGridLines="0" workbookViewId="0">
      <selection activeCell="P8" sqref="P8"/>
    </sheetView>
  </sheetViews>
  <sheetFormatPr defaultRowHeight="15"/>
  <cols>
    <col min="1" max="1" width="3.85546875" customWidth="1"/>
    <col min="2" max="2" width="9.7109375" customWidth="1"/>
    <col min="3" max="3" width="17.7109375" customWidth="1"/>
    <col min="4" max="4" width="15.7109375" customWidth="1"/>
    <col min="5" max="5" width="33.7109375" customWidth="1"/>
    <col min="6" max="6" width="9.140625" customWidth="1"/>
    <col min="7" max="7" width="14.42578125" customWidth="1"/>
    <col min="8" max="8" width="16.140625" customWidth="1"/>
    <col min="9" max="9" width="21" customWidth="1"/>
    <col min="10" max="10" width="48.42578125" customWidth="1"/>
    <col min="11" max="11" width="24.7109375" customWidth="1"/>
  </cols>
  <sheetData>
    <row r="1" spans="2:11">
      <c r="B1" s="61" t="s">
        <v>940</v>
      </c>
    </row>
    <row r="2" spans="2:11">
      <c r="B2" s="61" t="s">
        <v>941</v>
      </c>
    </row>
    <row r="3" spans="2:11">
      <c r="B3" s="61" t="s">
        <v>1043</v>
      </c>
    </row>
    <row r="4" spans="2:11">
      <c r="B4" s="61"/>
    </row>
    <row r="5" spans="2:11">
      <c r="B5" s="214" t="s">
        <v>1359</v>
      </c>
      <c r="C5" s="214"/>
      <c r="D5" s="214"/>
      <c r="E5" s="214"/>
      <c r="F5" s="214"/>
      <c r="G5" s="214"/>
      <c r="H5" s="214"/>
      <c r="I5" s="214"/>
      <c r="J5" s="214"/>
      <c r="K5" s="35"/>
    </row>
    <row r="6" spans="2:11" ht="72" customHeight="1">
      <c r="B6" s="213" t="s">
        <v>1360</v>
      </c>
      <c r="C6" s="213"/>
      <c r="D6" s="213"/>
      <c r="E6" s="213"/>
      <c r="F6" s="213"/>
      <c r="G6" s="213"/>
      <c r="H6" s="213"/>
      <c r="I6" s="213"/>
      <c r="J6" s="213"/>
      <c r="K6" s="35"/>
    </row>
    <row r="7" spans="2:11" ht="25.5">
      <c r="B7" s="17" t="s">
        <v>139</v>
      </c>
      <c r="C7" s="17" t="s">
        <v>0</v>
      </c>
      <c r="D7" s="17" t="s">
        <v>334</v>
      </c>
      <c r="E7" s="17" t="s">
        <v>4</v>
      </c>
      <c r="F7" s="17" t="s">
        <v>5</v>
      </c>
      <c r="G7" s="17" t="s">
        <v>173</v>
      </c>
      <c r="H7" s="17" t="s">
        <v>342</v>
      </c>
      <c r="I7" s="17" t="s">
        <v>557</v>
      </c>
      <c r="J7" s="17" t="s">
        <v>1050</v>
      </c>
      <c r="K7" s="92" t="s">
        <v>1152</v>
      </c>
    </row>
    <row r="8" spans="2:11" ht="96">
      <c r="B8" s="1">
        <v>1</v>
      </c>
      <c r="C8" s="40" t="s">
        <v>263</v>
      </c>
      <c r="D8" s="40" t="s">
        <v>561</v>
      </c>
      <c r="E8" s="37" t="s">
        <v>346</v>
      </c>
      <c r="F8" s="39" t="s">
        <v>1</v>
      </c>
      <c r="G8" s="1" t="s">
        <v>604</v>
      </c>
      <c r="H8" s="1" t="s">
        <v>603</v>
      </c>
      <c r="I8" s="1" t="s">
        <v>1150</v>
      </c>
      <c r="J8" s="12">
        <v>0.3</v>
      </c>
      <c r="K8" s="12">
        <v>0.21</v>
      </c>
    </row>
    <row r="9" spans="2:11" ht="72">
      <c r="B9" s="1">
        <f t="shared" ref="B9:B36" si="0">B8+1</f>
        <v>2</v>
      </c>
      <c r="C9" s="40" t="s">
        <v>264</v>
      </c>
      <c r="D9" s="40" t="s">
        <v>562</v>
      </c>
      <c r="E9" s="37" t="s">
        <v>347</v>
      </c>
      <c r="F9" s="39" t="s">
        <v>1</v>
      </c>
      <c r="G9" s="1" t="s">
        <v>604</v>
      </c>
      <c r="H9" s="1" t="s">
        <v>603</v>
      </c>
      <c r="I9" s="1" t="s">
        <v>1150</v>
      </c>
      <c r="J9" s="12">
        <v>0.3</v>
      </c>
      <c r="K9" s="12">
        <v>0.21</v>
      </c>
    </row>
    <row r="10" spans="2:11" ht="33.75">
      <c r="B10" s="1">
        <f t="shared" si="0"/>
        <v>3</v>
      </c>
      <c r="C10" s="40" t="s">
        <v>265</v>
      </c>
      <c r="D10" s="40" t="s">
        <v>563</v>
      </c>
      <c r="E10" s="37" t="s">
        <v>348</v>
      </c>
      <c r="F10" s="39" t="s">
        <v>1</v>
      </c>
      <c r="G10" s="1" t="s">
        <v>604</v>
      </c>
      <c r="H10" s="1" t="s">
        <v>603</v>
      </c>
      <c r="I10" s="1" t="s">
        <v>1150</v>
      </c>
      <c r="J10" s="12">
        <v>0.3</v>
      </c>
      <c r="K10" s="12">
        <v>0.21</v>
      </c>
    </row>
    <row r="11" spans="2:11" ht="72">
      <c r="B11" s="1">
        <f t="shared" si="0"/>
        <v>4</v>
      </c>
      <c r="C11" s="40" t="s">
        <v>266</v>
      </c>
      <c r="D11" s="40" t="s">
        <v>564</v>
      </c>
      <c r="E11" s="37" t="s">
        <v>349</v>
      </c>
      <c r="F11" s="39" t="s">
        <v>1</v>
      </c>
      <c r="G11" s="1" t="s">
        <v>604</v>
      </c>
      <c r="H11" s="1" t="s">
        <v>603</v>
      </c>
      <c r="I11" s="1" t="s">
        <v>1150</v>
      </c>
      <c r="J11" s="12">
        <v>0.3</v>
      </c>
      <c r="K11" s="12">
        <v>0.21</v>
      </c>
    </row>
    <row r="12" spans="2:11" ht="48">
      <c r="B12" s="1">
        <f t="shared" si="0"/>
        <v>5</v>
      </c>
      <c r="C12" s="40" t="s">
        <v>267</v>
      </c>
      <c r="D12" s="40" t="s">
        <v>565</v>
      </c>
      <c r="E12" s="37" t="s">
        <v>350</v>
      </c>
      <c r="F12" s="39" t="s">
        <v>1</v>
      </c>
      <c r="G12" s="1" t="s">
        <v>604</v>
      </c>
      <c r="H12" s="1" t="s">
        <v>603</v>
      </c>
      <c r="I12" s="1" t="s">
        <v>1150</v>
      </c>
      <c r="J12" s="12">
        <v>0.3</v>
      </c>
      <c r="K12" s="12">
        <v>0.21</v>
      </c>
    </row>
    <row r="13" spans="2:11" ht="84">
      <c r="B13" s="1">
        <f t="shared" si="0"/>
        <v>6</v>
      </c>
      <c r="C13" s="40" t="s">
        <v>268</v>
      </c>
      <c r="D13" s="40" t="s">
        <v>566</v>
      </c>
      <c r="E13" s="37" t="s">
        <v>351</v>
      </c>
      <c r="F13" s="39" t="s">
        <v>1</v>
      </c>
      <c r="G13" s="1" t="s">
        <v>604</v>
      </c>
      <c r="H13" s="1" t="s">
        <v>603</v>
      </c>
      <c r="I13" s="1" t="s">
        <v>1150</v>
      </c>
      <c r="J13" s="12">
        <v>0.3</v>
      </c>
      <c r="K13" s="12">
        <v>0.21</v>
      </c>
    </row>
    <row r="14" spans="2:11" ht="60">
      <c r="B14" s="1">
        <f t="shared" si="0"/>
        <v>7</v>
      </c>
      <c r="C14" s="40" t="s">
        <v>269</v>
      </c>
      <c r="D14" s="40" t="s">
        <v>567</v>
      </c>
      <c r="E14" s="37" t="s">
        <v>352</v>
      </c>
      <c r="F14" s="39" t="s">
        <v>1</v>
      </c>
      <c r="G14" s="1" t="s">
        <v>604</v>
      </c>
      <c r="H14" s="1" t="s">
        <v>603</v>
      </c>
      <c r="I14" s="1" t="s">
        <v>1150</v>
      </c>
      <c r="J14" s="12">
        <v>0.3</v>
      </c>
      <c r="K14" s="12">
        <v>0.21</v>
      </c>
    </row>
    <row r="15" spans="2:11" ht="72">
      <c r="B15" s="1">
        <f t="shared" si="0"/>
        <v>8</v>
      </c>
      <c r="C15" s="40" t="s">
        <v>270</v>
      </c>
      <c r="D15" s="40" t="s">
        <v>568</v>
      </c>
      <c r="E15" s="37" t="s">
        <v>353</v>
      </c>
      <c r="F15" s="39" t="s">
        <v>1</v>
      </c>
      <c r="G15" s="1" t="s">
        <v>604</v>
      </c>
      <c r="H15" s="1" t="s">
        <v>603</v>
      </c>
      <c r="I15" s="1" t="s">
        <v>1150</v>
      </c>
      <c r="J15" s="12">
        <v>0.3</v>
      </c>
      <c r="K15" s="12">
        <v>0.21</v>
      </c>
    </row>
    <row r="16" spans="2:11" ht="48">
      <c r="B16" s="1">
        <f t="shared" si="0"/>
        <v>9</v>
      </c>
      <c r="C16" s="40" t="s">
        <v>271</v>
      </c>
      <c r="D16" s="40" t="s">
        <v>569</v>
      </c>
      <c r="E16" s="37" t="s">
        <v>354</v>
      </c>
      <c r="F16" s="39" t="s">
        <v>1</v>
      </c>
      <c r="G16" s="1" t="s">
        <v>604</v>
      </c>
      <c r="H16" s="1" t="s">
        <v>603</v>
      </c>
      <c r="I16" s="1" t="s">
        <v>1150</v>
      </c>
      <c r="J16" s="12">
        <v>0.3</v>
      </c>
      <c r="K16" s="12">
        <v>0.21</v>
      </c>
    </row>
    <row r="17" spans="2:11" ht="96">
      <c r="B17" s="1">
        <f t="shared" si="0"/>
        <v>10</v>
      </c>
      <c r="C17" s="40" t="s">
        <v>272</v>
      </c>
      <c r="D17" s="40" t="s">
        <v>570</v>
      </c>
      <c r="E17" s="37" t="s">
        <v>355</v>
      </c>
      <c r="F17" s="39" t="s">
        <v>1</v>
      </c>
      <c r="G17" s="1" t="s">
        <v>604</v>
      </c>
      <c r="H17" s="1" t="s">
        <v>603</v>
      </c>
      <c r="I17" s="1" t="s">
        <v>1150</v>
      </c>
      <c r="J17" s="12">
        <v>0.3</v>
      </c>
      <c r="K17" s="12">
        <v>0.21</v>
      </c>
    </row>
    <row r="18" spans="2:11" ht="60">
      <c r="B18" s="1">
        <f t="shared" si="0"/>
        <v>11</v>
      </c>
      <c r="C18" s="40" t="s">
        <v>273</v>
      </c>
      <c r="D18" s="40" t="s">
        <v>571</v>
      </c>
      <c r="E18" s="37" t="s">
        <v>356</v>
      </c>
      <c r="F18" s="39" t="s">
        <v>1</v>
      </c>
      <c r="G18" s="1" t="s">
        <v>604</v>
      </c>
      <c r="H18" s="1" t="s">
        <v>603</v>
      </c>
      <c r="I18" s="1" t="s">
        <v>1150</v>
      </c>
      <c r="J18" s="12">
        <v>0.3</v>
      </c>
      <c r="K18" s="12">
        <v>0.21</v>
      </c>
    </row>
    <row r="19" spans="2:11" ht="84">
      <c r="B19" s="1">
        <f t="shared" si="0"/>
        <v>12</v>
      </c>
      <c r="C19" s="40" t="s">
        <v>274</v>
      </c>
      <c r="D19" s="40" t="s">
        <v>572</v>
      </c>
      <c r="E19" s="37" t="s">
        <v>357</v>
      </c>
      <c r="F19" s="39" t="s">
        <v>1</v>
      </c>
      <c r="G19" s="1" t="s">
        <v>604</v>
      </c>
      <c r="H19" s="1" t="s">
        <v>603</v>
      </c>
      <c r="I19" s="1" t="s">
        <v>1150</v>
      </c>
      <c r="J19" s="12">
        <v>0.3</v>
      </c>
      <c r="K19" s="12">
        <v>0.21</v>
      </c>
    </row>
    <row r="20" spans="2:11" ht="48">
      <c r="B20" s="1">
        <f t="shared" si="0"/>
        <v>13</v>
      </c>
      <c r="C20" s="40" t="s">
        <v>275</v>
      </c>
      <c r="D20" s="40" t="s">
        <v>573</v>
      </c>
      <c r="E20" s="37" t="s">
        <v>358</v>
      </c>
      <c r="F20" s="39" t="s">
        <v>1</v>
      </c>
      <c r="G20" s="1" t="s">
        <v>604</v>
      </c>
      <c r="H20" s="1" t="s">
        <v>603</v>
      </c>
      <c r="I20" s="1" t="s">
        <v>1150</v>
      </c>
      <c r="J20" s="12">
        <v>0.3</v>
      </c>
      <c r="K20" s="12">
        <v>0.21</v>
      </c>
    </row>
    <row r="21" spans="2:11" ht="84">
      <c r="B21" s="1">
        <f t="shared" si="0"/>
        <v>14</v>
      </c>
      <c r="C21" s="40" t="s">
        <v>276</v>
      </c>
      <c r="D21" s="40" t="s">
        <v>574</v>
      </c>
      <c r="E21" s="37" t="s">
        <v>359</v>
      </c>
      <c r="F21" s="39" t="s">
        <v>1</v>
      </c>
      <c r="G21" s="1" t="s">
        <v>604</v>
      </c>
      <c r="H21" s="1" t="s">
        <v>603</v>
      </c>
      <c r="I21" s="1" t="s">
        <v>1150</v>
      </c>
      <c r="J21" s="12">
        <v>0.3</v>
      </c>
      <c r="K21" s="12">
        <v>0.21</v>
      </c>
    </row>
    <row r="22" spans="2:11" ht="84">
      <c r="B22" s="1">
        <f t="shared" si="0"/>
        <v>15</v>
      </c>
      <c r="C22" s="40" t="s">
        <v>277</v>
      </c>
      <c r="D22" s="40" t="s">
        <v>575</v>
      </c>
      <c r="E22" s="37" t="s">
        <v>360</v>
      </c>
      <c r="F22" s="39" t="s">
        <v>1</v>
      </c>
      <c r="G22" s="1" t="s">
        <v>604</v>
      </c>
      <c r="H22" s="1" t="s">
        <v>603</v>
      </c>
      <c r="I22" s="1" t="s">
        <v>1150</v>
      </c>
      <c r="J22" s="12">
        <v>0.3</v>
      </c>
      <c r="K22" s="12">
        <v>0.21</v>
      </c>
    </row>
    <row r="23" spans="2:11" ht="84">
      <c r="B23" s="1">
        <f t="shared" si="0"/>
        <v>16</v>
      </c>
      <c r="C23" s="40" t="s">
        <v>278</v>
      </c>
      <c r="D23" s="40" t="s">
        <v>576</v>
      </c>
      <c r="E23" s="37" t="s">
        <v>361</v>
      </c>
      <c r="F23" s="39" t="s">
        <v>1</v>
      </c>
      <c r="G23" s="1" t="s">
        <v>604</v>
      </c>
      <c r="H23" s="1" t="s">
        <v>603</v>
      </c>
      <c r="I23" s="1" t="s">
        <v>1150</v>
      </c>
      <c r="J23" s="12">
        <v>0.3</v>
      </c>
      <c r="K23" s="12">
        <v>0.21</v>
      </c>
    </row>
    <row r="24" spans="2:11" ht="96">
      <c r="B24" s="1">
        <f t="shared" si="0"/>
        <v>17</v>
      </c>
      <c r="C24" s="40" t="s">
        <v>279</v>
      </c>
      <c r="D24" s="40" t="s">
        <v>577</v>
      </c>
      <c r="E24" s="37" t="s">
        <v>362</v>
      </c>
      <c r="F24" s="39" t="s">
        <v>1</v>
      </c>
      <c r="G24" s="1" t="s">
        <v>604</v>
      </c>
      <c r="H24" s="1" t="s">
        <v>603</v>
      </c>
      <c r="I24" s="1" t="s">
        <v>1150</v>
      </c>
      <c r="J24" s="12">
        <v>0.3</v>
      </c>
      <c r="K24" s="12">
        <v>0.21</v>
      </c>
    </row>
    <row r="25" spans="2:11" ht="72">
      <c r="B25" s="1">
        <f t="shared" si="0"/>
        <v>18</v>
      </c>
      <c r="C25" s="40" t="s">
        <v>280</v>
      </c>
      <c r="D25" s="40" t="s">
        <v>578</v>
      </c>
      <c r="E25" s="37" t="s">
        <v>363</v>
      </c>
      <c r="F25" s="39" t="s">
        <v>1</v>
      </c>
      <c r="G25" s="1" t="s">
        <v>604</v>
      </c>
      <c r="H25" s="1" t="s">
        <v>603</v>
      </c>
      <c r="I25" s="1" t="s">
        <v>1150</v>
      </c>
      <c r="J25" s="12">
        <v>0.3</v>
      </c>
      <c r="K25" s="12">
        <v>0.21</v>
      </c>
    </row>
    <row r="26" spans="2:11" ht="84">
      <c r="B26" s="1">
        <f t="shared" si="0"/>
        <v>19</v>
      </c>
      <c r="C26" s="40" t="s">
        <v>281</v>
      </c>
      <c r="D26" s="40" t="s">
        <v>579</v>
      </c>
      <c r="E26" s="37" t="s">
        <v>364</v>
      </c>
      <c r="F26" s="39" t="s">
        <v>1</v>
      </c>
      <c r="G26" s="1" t="s">
        <v>604</v>
      </c>
      <c r="H26" s="1" t="s">
        <v>603</v>
      </c>
      <c r="I26" s="1" t="s">
        <v>1150</v>
      </c>
      <c r="J26" s="12">
        <v>0.3</v>
      </c>
      <c r="K26" s="12">
        <v>0.21</v>
      </c>
    </row>
    <row r="27" spans="2:11" ht="84">
      <c r="B27" s="1">
        <f t="shared" si="0"/>
        <v>20</v>
      </c>
      <c r="C27" s="40" t="s">
        <v>282</v>
      </c>
      <c r="D27" s="40" t="s">
        <v>580</v>
      </c>
      <c r="E27" s="37" t="s">
        <v>365</v>
      </c>
      <c r="F27" s="39" t="s">
        <v>1</v>
      </c>
      <c r="G27" s="1" t="s">
        <v>604</v>
      </c>
      <c r="H27" s="1" t="s">
        <v>603</v>
      </c>
      <c r="I27" s="1" t="s">
        <v>1150</v>
      </c>
      <c r="J27" s="12">
        <v>0.3</v>
      </c>
      <c r="K27" s="12">
        <v>0.21</v>
      </c>
    </row>
    <row r="28" spans="2:11" ht="84">
      <c r="B28" s="1">
        <f t="shared" si="0"/>
        <v>21</v>
      </c>
      <c r="C28" s="40" t="s">
        <v>283</v>
      </c>
      <c r="D28" s="40" t="s">
        <v>581</v>
      </c>
      <c r="E28" s="37" t="s">
        <v>366</v>
      </c>
      <c r="F28" s="39" t="s">
        <v>1</v>
      </c>
      <c r="G28" s="1" t="s">
        <v>604</v>
      </c>
      <c r="H28" s="1" t="s">
        <v>603</v>
      </c>
      <c r="I28" s="1" t="s">
        <v>1150</v>
      </c>
      <c r="J28" s="12">
        <v>0.3</v>
      </c>
      <c r="K28" s="12">
        <v>0.21</v>
      </c>
    </row>
    <row r="29" spans="2:11" ht="78.75">
      <c r="B29" s="1">
        <f t="shared" si="0"/>
        <v>22</v>
      </c>
      <c r="C29" s="40" t="s">
        <v>647</v>
      </c>
      <c r="D29" s="40" t="s">
        <v>648</v>
      </c>
      <c r="E29" s="59" t="s">
        <v>649</v>
      </c>
      <c r="F29" s="40" t="s">
        <v>1</v>
      </c>
      <c r="G29" s="40" t="s">
        <v>604</v>
      </c>
      <c r="H29" s="40" t="s">
        <v>603</v>
      </c>
      <c r="I29" s="1" t="s">
        <v>1150</v>
      </c>
      <c r="J29" s="20">
        <v>0.3</v>
      </c>
      <c r="K29" s="12">
        <v>0.21</v>
      </c>
    </row>
    <row r="30" spans="2:11" ht="78.75">
      <c r="B30" s="1">
        <f t="shared" si="0"/>
        <v>23</v>
      </c>
      <c r="C30" s="40" t="s">
        <v>650</v>
      </c>
      <c r="D30" s="40" t="s">
        <v>651</v>
      </c>
      <c r="E30" s="59" t="s">
        <v>652</v>
      </c>
      <c r="F30" s="40" t="s">
        <v>1</v>
      </c>
      <c r="G30" s="40" t="s">
        <v>604</v>
      </c>
      <c r="H30" s="40" t="s">
        <v>603</v>
      </c>
      <c r="I30" s="1" t="s">
        <v>1150</v>
      </c>
      <c r="J30" s="20">
        <v>0.3</v>
      </c>
      <c r="K30" s="12">
        <v>0.21</v>
      </c>
    </row>
    <row r="31" spans="2:11" ht="56.25">
      <c r="B31" s="1">
        <f t="shared" si="0"/>
        <v>24</v>
      </c>
      <c r="C31" s="40" t="s">
        <v>653</v>
      </c>
      <c r="D31" s="40" t="s">
        <v>654</v>
      </c>
      <c r="E31" s="59" t="s">
        <v>655</v>
      </c>
      <c r="F31" s="40" t="s">
        <v>1</v>
      </c>
      <c r="G31" s="40" t="s">
        <v>604</v>
      </c>
      <c r="H31" s="40" t="s">
        <v>603</v>
      </c>
      <c r="I31" s="1" t="s">
        <v>1150</v>
      </c>
      <c r="J31" s="20">
        <v>0.3</v>
      </c>
      <c r="K31" s="12">
        <v>0.21</v>
      </c>
    </row>
    <row r="32" spans="2:11" ht="78.75">
      <c r="B32" s="1">
        <f t="shared" si="0"/>
        <v>25</v>
      </c>
      <c r="C32" s="40" t="s">
        <v>656</v>
      </c>
      <c r="D32" s="40" t="s">
        <v>657</v>
      </c>
      <c r="E32" s="59" t="s">
        <v>658</v>
      </c>
      <c r="F32" s="40" t="s">
        <v>1</v>
      </c>
      <c r="G32" s="40" t="s">
        <v>604</v>
      </c>
      <c r="H32" s="40" t="s">
        <v>603</v>
      </c>
      <c r="I32" s="1" t="s">
        <v>1150</v>
      </c>
      <c r="J32" s="20">
        <v>0.3</v>
      </c>
      <c r="K32" s="12">
        <v>0.21</v>
      </c>
    </row>
    <row r="33" spans="2:11" ht="78.75">
      <c r="B33" s="1">
        <f t="shared" si="0"/>
        <v>26</v>
      </c>
      <c r="C33" s="40" t="s">
        <v>659</v>
      </c>
      <c r="D33" s="40" t="s">
        <v>660</v>
      </c>
      <c r="E33" s="59" t="s">
        <v>661</v>
      </c>
      <c r="F33" s="40" t="s">
        <v>1</v>
      </c>
      <c r="G33" s="40" t="s">
        <v>604</v>
      </c>
      <c r="H33" s="40" t="s">
        <v>603</v>
      </c>
      <c r="I33" s="1" t="s">
        <v>1150</v>
      </c>
      <c r="J33" s="20">
        <v>0.3</v>
      </c>
      <c r="K33" s="12">
        <v>0.21</v>
      </c>
    </row>
    <row r="34" spans="2:11" ht="78.75">
      <c r="B34" s="1">
        <f t="shared" si="0"/>
        <v>27</v>
      </c>
      <c r="C34" s="40" t="s">
        <v>662</v>
      </c>
      <c r="D34" s="40" t="s">
        <v>663</v>
      </c>
      <c r="E34" s="59" t="s">
        <v>664</v>
      </c>
      <c r="F34" s="40" t="s">
        <v>1</v>
      </c>
      <c r="G34" s="40" t="s">
        <v>604</v>
      </c>
      <c r="H34" s="40" t="s">
        <v>603</v>
      </c>
      <c r="I34" s="1" t="s">
        <v>1150</v>
      </c>
      <c r="J34" s="20">
        <v>0.3</v>
      </c>
      <c r="K34" s="12">
        <v>0.21</v>
      </c>
    </row>
    <row r="35" spans="2:11" ht="78.75">
      <c r="B35" s="1">
        <f t="shared" si="0"/>
        <v>28</v>
      </c>
      <c r="C35" s="40" t="s">
        <v>665</v>
      </c>
      <c r="D35" s="40" t="s">
        <v>666</v>
      </c>
      <c r="E35" s="59" t="s">
        <v>667</v>
      </c>
      <c r="F35" s="40" t="s">
        <v>1</v>
      </c>
      <c r="G35" s="40" t="s">
        <v>604</v>
      </c>
      <c r="H35" s="40" t="s">
        <v>603</v>
      </c>
      <c r="I35" s="1" t="s">
        <v>1150</v>
      </c>
      <c r="J35" s="20">
        <v>0.3</v>
      </c>
      <c r="K35" s="12">
        <v>0.21</v>
      </c>
    </row>
    <row r="36" spans="2:11" ht="33.75">
      <c r="B36" s="1">
        <f t="shared" si="0"/>
        <v>29</v>
      </c>
      <c r="C36" s="40" t="s">
        <v>668</v>
      </c>
      <c r="D36" s="40" t="s">
        <v>669</v>
      </c>
      <c r="E36" s="59" t="s">
        <v>670</v>
      </c>
      <c r="F36" s="40" t="s">
        <v>1</v>
      </c>
      <c r="G36" s="40" t="s">
        <v>604</v>
      </c>
      <c r="H36" s="40" t="s">
        <v>603</v>
      </c>
      <c r="I36" s="1" t="s">
        <v>1150</v>
      </c>
      <c r="J36" s="20">
        <v>0.3</v>
      </c>
      <c r="K36" s="12">
        <v>0.21</v>
      </c>
    </row>
  </sheetData>
  <mergeCells count="2">
    <mergeCell ref="B5:J5"/>
    <mergeCell ref="B6:J6"/>
  </mergeCells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9"/>
  <sheetViews>
    <sheetView showGridLines="0" workbookViewId="0">
      <selection activeCell="L14" sqref="L14"/>
    </sheetView>
  </sheetViews>
  <sheetFormatPr defaultRowHeight="15"/>
  <cols>
    <col min="1" max="1" width="3.85546875" customWidth="1"/>
    <col min="2" max="2" width="5.42578125" bestFit="1" customWidth="1"/>
    <col min="3" max="3" width="7.85546875" bestFit="1" customWidth="1"/>
    <col min="4" max="4" width="8.42578125" customWidth="1"/>
    <col min="5" max="5" width="33.5703125" customWidth="1"/>
    <col min="6" max="6" width="9.140625" customWidth="1"/>
    <col min="7" max="7" width="9.42578125" bestFit="1" customWidth="1"/>
    <col min="8" max="8" width="15.42578125" customWidth="1"/>
    <col min="9" max="11" width="9.42578125" customWidth="1"/>
    <col min="12" max="12" width="84.7109375" customWidth="1"/>
    <col min="13" max="13" width="25.5703125" customWidth="1"/>
  </cols>
  <sheetData>
    <row r="1" spans="2:13">
      <c r="B1" s="61" t="s">
        <v>940</v>
      </c>
    </row>
    <row r="2" spans="2:13">
      <c r="B2" s="61" t="s">
        <v>941</v>
      </c>
    </row>
    <row r="3" spans="2:13">
      <c r="B3" s="61" t="s">
        <v>1043</v>
      </c>
    </row>
    <row r="4" spans="2:13">
      <c r="B4" s="61"/>
    </row>
    <row r="5" spans="2:13">
      <c r="B5" s="214" t="s">
        <v>1361</v>
      </c>
      <c r="C5" s="214"/>
      <c r="D5" s="214"/>
      <c r="E5" s="214"/>
      <c r="F5" s="214"/>
      <c r="G5" s="214"/>
      <c r="H5" s="214"/>
      <c r="I5" s="214"/>
      <c r="J5" s="214"/>
      <c r="K5" s="214"/>
      <c r="L5" s="214"/>
      <c r="M5" s="35"/>
    </row>
    <row r="6" spans="2:13" ht="111" customHeight="1">
      <c r="B6" s="213" t="s">
        <v>1151</v>
      </c>
      <c r="C6" s="213"/>
      <c r="D6" s="213"/>
      <c r="E6" s="213"/>
      <c r="F6" s="213"/>
      <c r="G6" s="213"/>
      <c r="H6" s="213"/>
      <c r="I6" s="213"/>
      <c r="J6" s="213"/>
      <c r="K6" s="213"/>
      <c r="L6" s="213"/>
      <c r="M6" s="60" t="s">
        <v>1127</v>
      </c>
    </row>
    <row r="7" spans="2:13" ht="25.5">
      <c r="B7" s="17" t="s">
        <v>139</v>
      </c>
      <c r="C7" s="48" t="s">
        <v>0</v>
      </c>
      <c r="D7" s="36" t="s">
        <v>334</v>
      </c>
      <c r="E7" s="36" t="s">
        <v>4</v>
      </c>
      <c r="F7" s="38" t="s">
        <v>5</v>
      </c>
      <c r="G7" s="17" t="s">
        <v>173</v>
      </c>
      <c r="H7" s="17" t="s">
        <v>557</v>
      </c>
      <c r="I7" s="221" t="s">
        <v>1149</v>
      </c>
      <c r="J7" s="222"/>
      <c r="K7" s="223"/>
      <c r="L7" s="17" t="s">
        <v>1050</v>
      </c>
      <c r="M7" s="35"/>
    </row>
    <row r="8" spans="2:13" ht="109.5" customHeight="1">
      <c r="B8" s="1">
        <v>1</v>
      </c>
      <c r="C8" s="40" t="s">
        <v>284</v>
      </c>
      <c r="D8" s="37">
        <v>8711</v>
      </c>
      <c r="E8" s="41" t="s">
        <v>1143</v>
      </c>
      <c r="F8" s="39" t="s">
        <v>1</v>
      </c>
      <c r="G8" s="1" t="s">
        <v>636</v>
      </c>
      <c r="H8" s="111" t="s">
        <v>1141</v>
      </c>
      <c r="I8" s="272" t="s">
        <v>1148</v>
      </c>
      <c r="J8" s="272"/>
      <c r="K8" s="272"/>
      <c r="L8" s="112">
        <v>0.34</v>
      </c>
      <c r="M8" s="112">
        <v>0.21</v>
      </c>
    </row>
    <row r="9" spans="2:13" ht="112.5" customHeight="1">
      <c r="B9" s="60">
        <v>2</v>
      </c>
      <c r="C9" s="40" t="s">
        <v>1142</v>
      </c>
      <c r="D9" s="37">
        <v>8711</v>
      </c>
      <c r="E9" s="41" t="s">
        <v>1144</v>
      </c>
      <c r="F9" s="39" t="s">
        <v>1</v>
      </c>
      <c r="G9" s="1" t="s">
        <v>636</v>
      </c>
      <c r="H9" s="1" t="s">
        <v>1141</v>
      </c>
      <c r="I9" s="91" t="s">
        <v>1145</v>
      </c>
      <c r="J9" s="91" t="s">
        <v>1146</v>
      </c>
      <c r="K9" s="62" t="s">
        <v>1147</v>
      </c>
      <c r="L9" s="2">
        <v>0.34</v>
      </c>
      <c r="M9" s="112">
        <v>0.21</v>
      </c>
    </row>
  </sheetData>
  <mergeCells count="4">
    <mergeCell ref="B5:L5"/>
    <mergeCell ref="B6:L6"/>
    <mergeCell ref="I8:K8"/>
    <mergeCell ref="I7:K7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18</vt:i4>
      </vt:variant>
    </vt:vector>
  </HeadingPairs>
  <TitlesOfParts>
    <vt:vector size="18" baseType="lpstr">
      <vt:lpstr>Leiaute</vt:lpstr>
      <vt:lpstr>Autopecas</vt:lpstr>
      <vt:lpstr>ÁGUAS E BEBIDAS FRIAS</vt:lpstr>
      <vt:lpstr>Bebidas Quentes</vt:lpstr>
      <vt:lpstr>Cigarro</vt:lpstr>
      <vt:lpstr>Cimentos</vt:lpstr>
      <vt:lpstr>Derivados de Trigo </vt:lpstr>
      <vt:lpstr>Farinha de trigo</vt:lpstr>
      <vt:lpstr>Lampadas</vt:lpstr>
      <vt:lpstr>Medicamento</vt:lpstr>
      <vt:lpstr>Medicamento (TABELA XI ANEXO V-</vt:lpstr>
      <vt:lpstr>Pneu</vt:lpstr>
      <vt:lpstr>HPPC</vt:lpstr>
      <vt:lpstr>Racoes</vt:lpstr>
      <vt:lpstr>Sorvetes</vt:lpstr>
      <vt:lpstr>Tintas</vt:lpstr>
      <vt:lpstr>Automoveis</vt:lpstr>
      <vt:lpstr>Motos</vt:lpstr>
    </vt:vector>
  </TitlesOfParts>
  <Company>Secretaria da Fazenda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Hiroshi Onishi</dc:creator>
  <cp:lastModifiedBy>Rosana Maria Araújo Leal</cp:lastModifiedBy>
  <cp:lastPrinted>2016-11-01T19:00:54Z</cp:lastPrinted>
  <dcterms:created xsi:type="dcterms:W3CDTF">2016-10-03T17:49:36Z</dcterms:created>
  <dcterms:modified xsi:type="dcterms:W3CDTF">2024-10-08T12:37:58Z</dcterms:modified>
</cp:coreProperties>
</file>