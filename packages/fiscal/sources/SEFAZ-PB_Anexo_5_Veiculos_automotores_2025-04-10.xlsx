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Veic_automotores" sheetId="1" r:id="rId1"/>
  </sheets>
  <calcPr calcId="145621"/>
</workbook>
</file>

<file path=xl/calcChain.xml><?xml version="1.0" encoding="utf-8"?>
<calcChain xmlns="http://schemas.openxmlformats.org/spreadsheetml/2006/main">
  <c r="H62" i="1" l="1"/>
  <c r="I62" i="1"/>
  <c r="J62" i="1"/>
  <c r="H61" i="1"/>
  <c r="I61" i="1"/>
  <c r="J61" i="1"/>
  <c r="A60" i="1"/>
  <c r="H60" i="1"/>
  <c r="I60" i="1"/>
  <c r="J60" i="1"/>
  <c r="J59" i="1" l="1"/>
  <c r="I59" i="1"/>
  <c r="H59" i="1"/>
  <c r="A59" i="1"/>
  <c r="J57" i="1"/>
  <c r="I57" i="1"/>
  <c r="H57" i="1"/>
  <c r="A57" i="1"/>
  <c r="J55" i="1"/>
  <c r="I55" i="1"/>
  <c r="H55" i="1"/>
  <c r="A55" i="1"/>
  <c r="J53" i="1"/>
  <c r="I53" i="1"/>
  <c r="H53" i="1"/>
  <c r="A53" i="1"/>
  <c r="J51" i="1"/>
  <c r="I51" i="1"/>
  <c r="H51" i="1"/>
  <c r="A51" i="1"/>
  <c r="J49" i="1"/>
  <c r="I49" i="1"/>
  <c r="H49" i="1"/>
  <c r="A49" i="1"/>
  <c r="J47" i="1"/>
  <c r="I47" i="1"/>
  <c r="H47" i="1"/>
  <c r="A47" i="1"/>
  <c r="J45" i="1"/>
  <c r="I45" i="1"/>
  <c r="H45" i="1"/>
  <c r="A45" i="1"/>
  <c r="J43" i="1"/>
  <c r="I43" i="1"/>
  <c r="H43" i="1"/>
  <c r="A43" i="1"/>
  <c r="J41" i="1"/>
  <c r="I41" i="1"/>
  <c r="H41" i="1"/>
  <c r="A41" i="1"/>
  <c r="J39" i="1"/>
  <c r="I39" i="1"/>
  <c r="H39" i="1"/>
  <c r="A39" i="1"/>
  <c r="J37" i="1"/>
  <c r="I37" i="1"/>
  <c r="H37" i="1"/>
  <c r="A37" i="1"/>
  <c r="J35" i="1"/>
  <c r="I35" i="1"/>
  <c r="H35" i="1"/>
  <c r="A35" i="1"/>
  <c r="J33" i="1"/>
  <c r="I33" i="1"/>
  <c r="H33" i="1"/>
  <c r="A33" i="1"/>
  <c r="J31" i="1"/>
  <c r="I31" i="1"/>
  <c r="H31" i="1"/>
  <c r="A31" i="1"/>
  <c r="J29" i="1"/>
  <c r="I29" i="1"/>
  <c r="H29" i="1"/>
  <c r="A29" i="1"/>
  <c r="J27" i="1"/>
  <c r="I27" i="1"/>
  <c r="H27" i="1"/>
  <c r="A27" i="1"/>
  <c r="J25" i="1"/>
  <c r="I25" i="1"/>
  <c r="H25" i="1"/>
  <c r="A25" i="1"/>
  <c r="J23" i="1"/>
  <c r="I23" i="1"/>
  <c r="H23" i="1"/>
  <c r="A23" i="1"/>
  <c r="J21" i="1"/>
  <c r="I21" i="1"/>
  <c r="H21" i="1"/>
  <c r="A21" i="1"/>
  <c r="J19" i="1"/>
  <c r="I19" i="1"/>
  <c r="H19" i="1"/>
  <c r="A19" i="1"/>
  <c r="J17" i="1"/>
  <c r="I17" i="1"/>
  <c r="H17" i="1"/>
  <c r="A17" i="1"/>
  <c r="J15" i="1"/>
  <c r="I15" i="1"/>
  <c r="H15" i="1"/>
  <c r="A15" i="1"/>
  <c r="J13" i="1"/>
  <c r="I13" i="1"/>
  <c r="H13" i="1"/>
  <c r="A13" i="1"/>
  <c r="J11" i="1"/>
  <c r="I11" i="1"/>
  <c r="H11" i="1"/>
  <c r="A11" i="1"/>
  <c r="J9" i="1"/>
  <c r="I9" i="1"/>
  <c r="H9" i="1"/>
  <c r="A9" i="1"/>
  <c r="J7" i="1"/>
  <c r="I7" i="1"/>
  <c r="H7" i="1"/>
  <c r="A7" i="1"/>
  <c r="J5" i="1"/>
  <c r="I5" i="1"/>
  <c r="H5" i="1"/>
  <c r="A5" i="1"/>
  <c r="J3" i="1"/>
  <c r="I3" i="1"/>
  <c r="H3" i="1"/>
  <c r="A3" i="1"/>
  <c r="J58" i="1" l="1"/>
  <c r="I58" i="1"/>
  <c r="H58" i="1"/>
  <c r="A58" i="1"/>
  <c r="J56" i="1"/>
  <c r="I56" i="1"/>
  <c r="H56" i="1"/>
  <c r="A56" i="1"/>
  <c r="J54" i="1"/>
  <c r="I54" i="1"/>
  <c r="H54" i="1"/>
  <c r="A54" i="1"/>
  <c r="J52" i="1"/>
  <c r="I52" i="1"/>
  <c r="H52" i="1"/>
  <c r="A52" i="1"/>
  <c r="J50" i="1"/>
  <c r="I50" i="1"/>
  <c r="H50" i="1"/>
  <c r="A50" i="1"/>
  <c r="J48" i="1"/>
  <c r="I48" i="1"/>
  <c r="H48" i="1"/>
  <c r="A48" i="1"/>
  <c r="J46" i="1"/>
  <c r="I46" i="1"/>
  <c r="H46" i="1"/>
  <c r="A46" i="1"/>
  <c r="J44" i="1"/>
  <c r="I44" i="1"/>
  <c r="H44" i="1"/>
  <c r="A44" i="1"/>
  <c r="J42" i="1"/>
  <c r="I42" i="1"/>
  <c r="H42" i="1"/>
  <c r="A42" i="1"/>
  <c r="J40" i="1"/>
  <c r="I40" i="1"/>
  <c r="H40" i="1"/>
  <c r="A40" i="1"/>
  <c r="J38" i="1"/>
  <c r="I38" i="1"/>
  <c r="H38" i="1"/>
  <c r="A38" i="1"/>
  <c r="J36" i="1"/>
  <c r="I36" i="1"/>
  <c r="H36" i="1"/>
  <c r="A36" i="1"/>
  <c r="J34" i="1"/>
  <c r="I34" i="1"/>
  <c r="H34" i="1"/>
  <c r="A34" i="1"/>
  <c r="J32" i="1"/>
  <c r="I32" i="1"/>
  <c r="H32" i="1"/>
  <c r="A32" i="1"/>
  <c r="J30" i="1"/>
  <c r="I30" i="1"/>
  <c r="H30" i="1"/>
  <c r="A30" i="1"/>
  <c r="J28" i="1"/>
  <c r="I28" i="1"/>
  <c r="H28" i="1"/>
  <c r="A28" i="1"/>
  <c r="J26" i="1"/>
  <c r="I26" i="1"/>
  <c r="H26" i="1"/>
  <c r="A26" i="1"/>
  <c r="J24" i="1"/>
  <c r="I24" i="1"/>
  <c r="H24" i="1"/>
  <c r="A24" i="1"/>
  <c r="J22" i="1"/>
  <c r="I22" i="1"/>
  <c r="H22" i="1"/>
  <c r="A22" i="1"/>
  <c r="J20" i="1"/>
  <c r="I20" i="1"/>
  <c r="H20" i="1"/>
  <c r="A20" i="1"/>
  <c r="J18" i="1"/>
  <c r="I18" i="1"/>
  <c r="H18" i="1"/>
  <c r="A18" i="1"/>
  <c r="J16" i="1"/>
  <c r="I16" i="1"/>
  <c r="H16" i="1"/>
  <c r="A16" i="1"/>
  <c r="J14" i="1"/>
  <c r="I14" i="1"/>
  <c r="H14" i="1"/>
  <c r="A14" i="1"/>
  <c r="J12" i="1"/>
  <c r="I12" i="1"/>
  <c r="H12" i="1"/>
  <c r="A12" i="1"/>
  <c r="J10" i="1"/>
  <c r="I10" i="1"/>
  <c r="H10" i="1"/>
  <c r="A10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<sst xmlns="http://schemas.openxmlformats.org/spreadsheetml/2006/main" count="200" uniqueCount="84">
  <si>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</si>
  <si>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</si>
  <si>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</si>
  <si>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</si>
  <si>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</si>
  <si>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</si>
  <si>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</si>
  <si>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</si>
  <si>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</si>
  <si>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</si>
  <si>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</si>
  <si>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</si>
  <si>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</si>
  <si>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</si>
  <si>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</si>
  <si>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</si>
  <si>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Veículos automóveis para transporte de 10 pessoas ou mais, incluindo o motorista, unicamente com motor de pistão, de ignição por compressão (diesel ou semidiesel), com volume interno de habitáculo, destinado a passageiros e motorista, superior a 6 m³, mas inferior a 9 m³</t>
  </si>
  <si>
    <t>DECRETO ICMS/PB Nº 39.158</t>
  </si>
  <si>
    <t>2.0</t>
  </si>
  <si>
    <t>Veículos automóveis para transporte de 10 pessoas ou mais, incluindo o motorista, unicamente com motor elétrico para propulsão, com volume interno de habitáculo, destinado a passageiros e motorista, superior a 6 m³, mas inferior a 9 m³</t>
  </si>
  <si>
    <t>3.0</t>
  </si>
  <si>
    <t>Automóveis unicamente com motor de pistão alternativo de ignição por centelha (faísca*), de cilindrada não superior a 1000 cm³</t>
  </si>
  <si>
    <t>4.0</t>
  </si>
  <si>
    <t>Automóveis unicamente com motor de pistão alternativo de ignição por centelha (faísca*), de cilindrada superior a 1000 cm³, mas não superior a 1500 cm³, com capacidade de transporte de pessoas sentadas inferior ou igual a 6, incluído o condutor, exceto carro celular</t>
  </si>
  <si>
    <t>5.0</t>
  </si>
  <si>
    <t>Outros automóveis unicamente com motor de pistão alternativo de ignição por centelha (faísca*), de cilindrada superior a 1000 cm³, mas não superior a 1500 cm³, exceto carro celular</t>
  </si>
  <si>
    <t>6.0</t>
  </si>
  <si>
    <t>Automóveis unicamente com motor de pistão alternativo de ignição por centelha (faísca*), de cilindrada superior a 1500 cm³, mas não superior a 3000 cm³, com capacidade de transporte de pessoas sentadas inferior ou igual a 6, incluído o condutor, exceto carro celular, carro funerário e automóveis de corrida</t>
  </si>
  <si>
    <t>7.0</t>
  </si>
  <si>
    <t>Outros automóveis unicamente com motor de pistão alternativo de ignição por centelha (faísca*), de cilindrada superior a 1500 cm³, mas não superior a 3000 cm³, exceto carro celular, carro funerário e automóveis de corrida</t>
  </si>
  <si>
    <t>8.0</t>
  </si>
  <si>
    <t>Automóveis unicamente com motor de pistão alternativo de ignição por centelha (faísca*), de cilindrada superior a 3000 cm³, com capacidade de transporte de pessoas sentadas inferior ou igual a 6, incluído o condutor, exceto carro celular, carro funerário e automóveis de corrida</t>
  </si>
  <si>
    <t>9.0</t>
  </si>
  <si>
    <t>Outros automóveis unicamente com motor de pistão alternativo de ignição por centelha (faísca*), de cilindrada superior a 3000 cm³, exceto carro celular, carro funerário e automóveis de corrida</t>
  </si>
  <si>
    <t>10.0</t>
  </si>
  <si>
    <t>Automóveis unicamente com motor diesel ou semidiesel, de cilindrada superior a 1500 cm³, mas não superior a 2500 cm³, com capacidade de transporte de pessoas sentadas inferior ou igual a 6, incluído o condutor, exceto ambulância, carro celular e carro funerário</t>
  </si>
  <si>
    <t>11.0</t>
  </si>
  <si>
    <t>Outros automóveis unicamente com motor diesel ou semidiesel, de cilindrada superior a 1500 cm³, mas não superior a 2500 cm³, exceto ambulância, carro celular e carro funerário</t>
  </si>
  <si>
    <t>12.0</t>
  </si>
  <si>
    <t>Automóveis unicamente com motor diesel ou semidiesel, de cilindrada superior a 2500 cm³, com capacidade de transporte de pessoas sentadas inferior ou igual a 6, incluído o condutor, exceto carro celular e carro funerário</t>
  </si>
  <si>
    <t>13.0</t>
  </si>
  <si>
    <t>Outros automóveis unicamente com motor diesel ou semidiesel, de cilindrada superior a 2500 cm³, exceto carro celular e carro funerário</t>
  </si>
  <si>
    <t>14.0</t>
  </si>
  <si>
    <t>Veículos automóveis para transporte de mercadorias, de peso em carga máxima não superior a 5 toneladas, chassis com motor diesel ou semidiesel e cabina, exceto caminhão de peso em carga máxima superior a 3,9 toneladas</t>
  </si>
  <si>
    <t>15.0</t>
  </si>
  <si>
    <t>Veículos automóveis para transporte de mercadorias, de peso em carga máxima não superior a 5 toneladas, com motor diesel ou semidiesel, com caixa basculante, exceto caminhão de peso em carga máxima superior a 3,9 toneladas</t>
  </si>
  <si>
    <t>16.0</t>
  </si>
  <si>
    <t>Veículos automóveis para transporte de mercadorias, de peso em carga máxima não superior a 5 toneladas, frigoríficos ou isotérmicos, com motor diesel ou semidiesel, exceto caminhão de peso em carga máxima superior a 3,9 toneladas</t>
  </si>
  <si>
    <t>17.0</t>
  </si>
  <si>
    <t>Outros veículos automóveis para transporte de mercadorias, de peso em carga máxima não superior a 5 toneladas, com motor diesel ou semidiesel, exceto carro-forte para transporte de valores e caminhão de peso em carga máxima superior a 3,9 toneladas</t>
  </si>
  <si>
    <t>18.0</t>
  </si>
  <si>
    <t>Veículos automóveis para transporte de mercadorias, de peso em carga máxima não superior a 5 toneladas, com motor a explosão, chassis e cabina, exceto caminhão de peso em carga máxima superior a 3,9 toneladas</t>
  </si>
  <si>
    <t>19.0</t>
  </si>
  <si>
    <t>Veículos automóveis para transporte de mercadorias, de peso em carga máxima não superior a 5 toneladas, com motor explosão com caixa basculante, exceto caminhão de peso em carga máxima superior a 3,9 toneladas</t>
  </si>
  <si>
    <t>20.0</t>
  </si>
  <si>
    <t>Veículos automóveis para transporte de mercadorias, de peso em carga máxima não superior a 5 toneladas, frigoríficos ou isotérmicos com motor explosão, exceto caminhão de peso em carga máxima superior a 3,9 toneladas</t>
  </si>
  <si>
    <t>21.0</t>
  </si>
  <si>
    <t>Outros veículos automóveis para transporte de mercadorias, de peso em carga máxima não superior a 5 toneladas, com motor a explosão, exceto carro-forte para transporte de valores e caminhão de peso em carga máxima superior a 3,9 toneladas</t>
  </si>
  <si>
    <t>22.0</t>
  </si>
  <si>
    <t>Veículos automóveis para transporte de 10 pessoas ou mais, incluindo o motorista, com motor de pistão, de ignição por compressão (diesel ou semidiesel) e um motor elétrico, com volume interno de habitáculo, destinado a passageiros e motorista, superior a 6 m³, mas inferior a 9 m³</t>
  </si>
  <si>
    <t>23.0</t>
  </si>
  <si>
    <t>Veículos automóveis para transporte de 10 pessoas ou mais, incluindo o motorista, com motor de pistão alternativo, de ignição por centelha (faísca) e um motor elétrico, com volume interno de habitáculo, destinado a passageiros e motorista, superior a 6 m³, mas inferior a 9 m³</t>
  </si>
  <si>
    <t>24.0</t>
  </si>
  <si>
    <t> Outros veículos automóveis para transporte de 10 pessoas ou mais, incluindo o motorista, com volume interno de habitáculo, destinado a passageiros e motorista, superior a 6 m³, mas inferior a 9 m³</t>
  </si>
  <si>
    <t>25.0</t>
  </si>
  <si>
    <t>Automóveis equipados para propulsão, simultaneamente, com um motor de pistão alternativo de ignição por centelha (faísca*) e um motor elétrico, exceto os suscetíveis de serem carregados por conexão a uma fonte externa de energia elétrica, o carro celular e o carro funerário</t>
  </si>
  <si>
    <t>26.0</t>
  </si>
  <si>
    <t>Automóveis equipados para propulsão, simultaneamente, com um motor de pistão por compressão (diesel ou semidiesel) e um motor elétrico, exceto os suscetíveis de serem carregados por conexão a uma fonte externa de energia elétrica, exceto o carro celular e o carro funerário</t>
  </si>
  <si>
    <t>27.0</t>
  </si>
  <si>
    <t>Automóveis equipados para propulsão, simultaneamente, com um motor de pistão alternativo de ignição por centelha (faísca*) e um motor elétrico, suscetíveis de serem carregados por conexão a uma fonte externa de energia elétrica, exceto o carro celular e o carro funerário</t>
  </si>
  <si>
    <t>28.0</t>
  </si>
  <si>
    <t>Automóveis equipados para propulsão, simultaneamente, com um motor de pistão por compressão (diesel ou semidiesel) e um motor elétrico, suscetíveis de serem carregados por conexão a uma fonte externa de energia elétrica, exceto o carro celular e o carro funerário</t>
  </si>
  <si>
    <t>29.0</t>
  </si>
  <si>
    <t>Outros veículos, equipados unicamente com motor elétrico para propulsão</t>
  </si>
  <si>
    <t>DECRETO ICMS/PB Nº 44.681/23</t>
  </si>
  <si>
    <t>30.0</t>
  </si>
  <si>
    <t>Outros veículos para transportes de mercadorias equipados para propulsão, simultaneamente , com motor de pistão de ignição por compressão (diesel ou semidiesel) e motor elétrico de peso em carga máxima (bruto) não superior a 5 toneladas, exceto caminhão de peso em carga máxima superior a 3,9 toneladas</t>
  </si>
  <si>
    <t>DECRETO ICMS/PB Nº46.210/25</t>
  </si>
  <si>
    <t>Outros veículos para transportes de mercadorias equipados para propulsão, simultaneamente , com motor de pistão de ignição por centelha (faísca) e motor  elétrico de peso em carga máxima (bruto) não superior a 5 toneladas, exceto caminhão de peso em carga máxima superior a 3,9 toneladas</t>
  </si>
  <si>
    <t>25.031.00</t>
  </si>
  <si>
    <t>31.0</t>
  </si>
  <si>
    <t xml:space="preserve">Outros veículos para transporte de mercadorias, unicamente com motor elétrico para propulsão, exceto veículo de peso em carga máxima superior a 3,9 toneladas   
</t>
  </si>
  <si>
    <t>32.0</t>
  </si>
  <si>
    <t xml:space="preserve">25.032.00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</si>
</sst>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&quot;.&quot;000&quot;.&quot;00"/>
  </numFmts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64" fontId="2" fillId="2" borderId="1" xfId="0" applyNumberFormat="1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9" fontId="2" fillId="0" borderId="0" xfId="0" applyNumberFormat="1" applyFont="1"/>
    <xf numFmtId="0" fontId="2" fillId="0" borderId="0" xfId="0" applyFont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justify" vertical="center" wrapText="1"/>
    </xf>
    <xf numFmtId="164" fontId="2" fillId="0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Fill="1" applyBorder="1"/>
    <xf numFmtId="9" fontId="2" fillId="0" borderId="1" xfId="0" applyNumberFormat="1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zoomScale="90" zoomScaleNormal="90" workbookViewId="0">
      <pane ySplit="1" topLeftCell="A43" activePane="bottomLeft" state="frozen"/>
      <selection pane="bottomLeft" activeCell="N66" sqref="N66"/>
    </sheetView>
  </sheetViews>
  <sheetFormatPr defaultColWidth="9.1796875" defaultRowHeight="14.5" x14ac:dyDescent="0.35"/>
  <cols>
    <col min="1" max="1" width="5.7265625" style="5" bestFit="1" customWidth="1"/>
    <col min="2" max="2" width="4.7265625" style="5" bestFit="1" customWidth="1"/>
    <col min="3" max="3" width="11.36328125" style="5" customWidth="1"/>
    <col min="4" max="4" width="14.26953125" style="5" customWidth="1"/>
    <col min="5" max="5" width="9.1796875" style="5" customWidth="1"/>
    <col min="6" max="6" width="9.1796875" style="13"/>
    <col min="7" max="7" width="6.54296875" style="5" bestFit="1" customWidth="1"/>
    <col min="8" max="10" width="7.54296875" style="5" bestFit="1" customWidth="1"/>
    <col min="11" max="11" width="6" style="14" bestFit="1" customWidth="1"/>
    <col min="12" max="12" width="6" style="5" bestFit="1" customWidth="1"/>
    <col min="13" max="13" width="5" style="5" bestFit="1" customWidth="1"/>
    <col min="14" max="14" width="124.6328125" style="15" customWidth="1"/>
    <col min="15" max="15" width="24.7265625" style="5" bestFit="1" customWidth="1"/>
    <col min="16" max="16384" width="9.1796875" style="5"/>
  </cols>
  <sheetData>
    <row r="1" spans="1:15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4" t="s">
        <v>13</v>
      </c>
      <c r="O1" s="1" t="s">
        <v>14</v>
      </c>
    </row>
    <row r="2" spans="1:15" ht="12" x14ac:dyDescent="0.3">
      <c r="A2" s="6" t="str">
        <f t="shared" ref="A2:A33" si="0">LEFT(C2,2)</f>
        <v>25</v>
      </c>
      <c r="B2" s="7" t="s">
        <v>15</v>
      </c>
      <c r="C2" s="8">
        <v>2500100</v>
      </c>
      <c r="D2" s="7">
        <v>87021000</v>
      </c>
      <c r="E2" s="9">
        <v>43592</v>
      </c>
      <c r="F2" s="9">
        <v>45291</v>
      </c>
      <c r="G2" s="10">
        <v>0.3</v>
      </c>
      <c r="H2" s="10">
        <f t="shared" ref="H2:H33" si="1">((1+G2)*(1-4%)/(1-K2))-1</f>
        <v>0.52195121951219492</v>
      </c>
      <c r="I2" s="10">
        <f t="shared" ref="I2:I33" si="2">((1+G2)*(1-7%)/(1-K2))-1</f>
        <v>0.47439024390243878</v>
      </c>
      <c r="J2" s="10">
        <f t="shared" ref="J2:J33" si="3">((1+G2)*(1-12%)/(1-K2))-1</f>
        <v>0.39512195121951232</v>
      </c>
      <c r="K2" s="11">
        <v>0.18</v>
      </c>
      <c r="L2" s="12"/>
      <c r="M2" s="12"/>
      <c r="N2" s="4" t="s">
        <v>16</v>
      </c>
      <c r="O2" s="12" t="s">
        <v>17</v>
      </c>
    </row>
    <row r="3" spans="1:15" ht="12" x14ac:dyDescent="0.3">
      <c r="A3" s="6" t="str">
        <f t="shared" si="0"/>
        <v>25</v>
      </c>
      <c r="B3" s="7" t="s">
        <v>15</v>
      </c>
      <c r="C3" s="8">
        <v>2500100</v>
      </c>
      <c r="D3" s="7">
        <v>87021000</v>
      </c>
      <c r="E3" s="9">
        <v>45292</v>
      </c>
      <c r="F3" s="7"/>
      <c r="G3" s="10">
        <v>0.3</v>
      </c>
      <c r="H3" s="10">
        <f t="shared" si="1"/>
        <v>0.55999999999999983</v>
      </c>
      <c r="I3" s="10">
        <f t="shared" si="2"/>
        <v>0.51124999999999976</v>
      </c>
      <c r="J3" s="10">
        <f t="shared" si="3"/>
        <v>0.43000000000000016</v>
      </c>
      <c r="K3" s="11">
        <v>0.2</v>
      </c>
      <c r="L3" s="12"/>
      <c r="M3" s="12"/>
      <c r="N3" s="4" t="s">
        <v>16</v>
      </c>
      <c r="O3" s="12" t="s">
        <v>74</v>
      </c>
    </row>
    <row r="4" spans="1:15" ht="12" x14ac:dyDescent="0.3">
      <c r="A4" s="6" t="str">
        <f t="shared" si="0"/>
        <v>25</v>
      </c>
      <c r="B4" s="7" t="s">
        <v>18</v>
      </c>
      <c r="C4" s="8">
        <v>2500200</v>
      </c>
      <c r="D4" s="7">
        <v>87024090</v>
      </c>
      <c r="E4" s="9">
        <v>43592</v>
      </c>
      <c r="F4" s="9">
        <v>45291</v>
      </c>
      <c r="G4" s="10">
        <v>0.3</v>
      </c>
      <c r="H4" s="10">
        <f t="shared" si="1"/>
        <v>0.52195121951219492</v>
      </c>
      <c r="I4" s="10">
        <f t="shared" si="2"/>
        <v>0.47439024390243878</v>
      </c>
      <c r="J4" s="10">
        <f t="shared" si="3"/>
        <v>0.39512195121951232</v>
      </c>
      <c r="K4" s="11">
        <v>0.18</v>
      </c>
      <c r="L4" s="12"/>
      <c r="M4" s="12"/>
      <c r="N4" s="4" t="s">
        <v>19</v>
      </c>
      <c r="O4" s="12" t="s">
        <v>17</v>
      </c>
    </row>
    <row r="5" spans="1:15" ht="12" x14ac:dyDescent="0.3">
      <c r="A5" s="6" t="str">
        <f t="shared" si="0"/>
        <v>25</v>
      </c>
      <c r="B5" s="7" t="s">
        <v>18</v>
      </c>
      <c r="C5" s="8">
        <v>2500200</v>
      </c>
      <c r="D5" s="7">
        <v>87024090</v>
      </c>
      <c r="E5" s="9">
        <v>45292</v>
      </c>
      <c r="F5" s="7"/>
      <c r="G5" s="10">
        <v>0.3</v>
      </c>
      <c r="H5" s="10">
        <f t="shared" si="1"/>
        <v>0.55999999999999983</v>
      </c>
      <c r="I5" s="10">
        <f t="shared" si="2"/>
        <v>0.51124999999999976</v>
      </c>
      <c r="J5" s="10">
        <f t="shared" si="3"/>
        <v>0.43000000000000016</v>
      </c>
      <c r="K5" s="11">
        <v>0.2</v>
      </c>
      <c r="L5" s="12"/>
      <c r="M5" s="12"/>
      <c r="N5" s="4" t="s">
        <v>19</v>
      </c>
      <c r="O5" s="12" t="s">
        <v>74</v>
      </c>
    </row>
    <row r="6" spans="1:15" ht="12" x14ac:dyDescent="0.3">
      <c r="A6" s="6" t="str">
        <f t="shared" si="0"/>
        <v>25</v>
      </c>
      <c r="B6" s="7" t="s">
        <v>20</v>
      </c>
      <c r="C6" s="8">
        <v>2500300</v>
      </c>
      <c r="D6" s="7">
        <v>87032100</v>
      </c>
      <c r="E6" s="9">
        <v>43592</v>
      </c>
      <c r="F6" s="9">
        <v>45291</v>
      </c>
      <c r="G6" s="10">
        <v>0.3</v>
      </c>
      <c r="H6" s="10">
        <f t="shared" si="1"/>
        <v>0.52195121951219492</v>
      </c>
      <c r="I6" s="10">
        <f t="shared" si="2"/>
        <v>0.47439024390243878</v>
      </c>
      <c r="J6" s="10">
        <f t="shared" si="3"/>
        <v>0.39512195121951232</v>
      </c>
      <c r="K6" s="11">
        <v>0.18</v>
      </c>
      <c r="L6" s="12"/>
      <c r="M6" s="12"/>
      <c r="N6" s="4" t="s">
        <v>21</v>
      </c>
      <c r="O6" s="12" t="s">
        <v>17</v>
      </c>
    </row>
    <row r="7" spans="1:15" ht="12" x14ac:dyDescent="0.3">
      <c r="A7" s="6" t="str">
        <f t="shared" si="0"/>
        <v>25</v>
      </c>
      <c r="B7" s="7" t="s">
        <v>20</v>
      </c>
      <c r="C7" s="8">
        <v>2500300</v>
      </c>
      <c r="D7" s="7">
        <v>87032100</v>
      </c>
      <c r="E7" s="9">
        <v>45292</v>
      </c>
      <c r="F7" s="7"/>
      <c r="G7" s="10">
        <v>0.3</v>
      </c>
      <c r="H7" s="10">
        <f t="shared" si="1"/>
        <v>0.55999999999999983</v>
      </c>
      <c r="I7" s="10">
        <f t="shared" si="2"/>
        <v>0.51124999999999976</v>
      </c>
      <c r="J7" s="10">
        <f t="shared" si="3"/>
        <v>0.43000000000000016</v>
      </c>
      <c r="K7" s="11">
        <v>0.2</v>
      </c>
      <c r="L7" s="12"/>
      <c r="M7" s="12"/>
      <c r="N7" s="4" t="s">
        <v>21</v>
      </c>
      <c r="O7" s="12" t="s">
        <v>74</v>
      </c>
    </row>
    <row r="8" spans="1:15" ht="12" x14ac:dyDescent="0.3">
      <c r="A8" s="6" t="str">
        <f t="shared" si="0"/>
        <v>25</v>
      </c>
      <c r="B8" s="7" t="s">
        <v>22</v>
      </c>
      <c r="C8" s="8">
        <v>2500400</v>
      </c>
      <c r="D8" s="7">
        <v>87032210</v>
      </c>
      <c r="E8" s="9">
        <v>43592</v>
      </c>
      <c r="F8" s="9">
        <v>45291</v>
      </c>
      <c r="G8" s="10">
        <v>0.3</v>
      </c>
      <c r="H8" s="10">
        <f t="shared" si="1"/>
        <v>0.52195121951219492</v>
      </c>
      <c r="I8" s="10">
        <f t="shared" si="2"/>
        <v>0.47439024390243878</v>
      </c>
      <c r="J8" s="10">
        <f t="shared" si="3"/>
        <v>0.39512195121951232</v>
      </c>
      <c r="K8" s="11">
        <v>0.18</v>
      </c>
      <c r="L8" s="12"/>
      <c r="M8" s="12"/>
      <c r="N8" s="4" t="s">
        <v>23</v>
      </c>
      <c r="O8" s="12" t="s">
        <v>17</v>
      </c>
    </row>
    <row r="9" spans="1:15" ht="12" x14ac:dyDescent="0.3">
      <c r="A9" s="6" t="str">
        <f t="shared" si="0"/>
        <v>25</v>
      </c>
      <c r="B9" s="7" t="s">
        <v>22</v>
      </c>
      <c r="C9" s="8">
        <v>2500400</v>
      </c>
      <c r="D9" s="7">
        <v>87032210</v>
      </c>
      <c r="E9" s="9">
        <v>45292</v>
      </c>
      <c r="F9" s="7"/>
      <c r="G9" s="10">
        <v>0.3</v>
      </c>
      <c r="H9" s="10">
        <f t="shared" si="1"/>
        <v>0.55999999999999983</v>
      </c>
      <c r="I9" s="10">
        <f t="shared" si="2"/>
        <v>0.51124999999999976</v>
      </c>
      <c r="J9" s="10">
        <f t="shared" si="3"/>
        <v>0.43000000000000016</v>
      </c>
      <c r="K9" s="11">
        <v>0.2</v>
      </c>
      <c r="L9" s="12"/>
      <c r="M9" s="12"/>
      <c r="N9" s="4" t="s">
        <v>23</v>
      </c>
      <c r="O9" s="12" t="s">
        <v>74</v>
      </c>
    </row>
    <row r="10" spans="1:15" ht="12" x14ac:dyDescent="0.3">
      <c r="A10" s="6" t="str">
        <f t="shared" si="0"/>
        <v>25</v>
      </c>
      <c r="B10" s="7" t="s">
        <v>24</v>
      </c>
      <c r="C10" s="8">
        <v>2500500</v>
      </c>
      <c r="D10" s="7">
        <v>87032290</v>
      </c>
      <c r="E10" s="9">
        <v>43592</v>
      </c>
      <c r="F10" s="9">
        <v>45291</v>
      </c>
      <c r="G10" s="10">
        <v>0.3</v>
      </c>
      <c r="H10" s="10">
        <f t="shared" si="1"/>
        <v>0.52195121951219492</v>
      </c>
      <c r="I10" s="10">
        <f t="shared" si="2"/>
        <v>0.47439024390243878</v>
      </c>
      <c r="J10" s="10">
        <f t="shared" si="3"/>
        <v>0.39512195121951232</v>
      </c>
      <c r="K10" s="11">
        <v>0.18</v>
      </c>
      <c r="L10" s="12"/>
      <c r="M10" s="12"/>
      <c r="N10" s="4" t="s">
        <v>25</v>
      </c>
      <c r="O10" s="12" t="s">
        <v>17</v>
      </c>
    </row>
    <row r="11" spans="1:15" ht="12" x14ac:dyDescent="0.3">
      <c r="A11" s="6" t="str">
        <f t="shared" si="0"/>
        <v>25</v>
      </c>
      <c r="B11" s="7" t="s">
        <v>24</v>
      </c>
      <c r="C11" s="8">
        <v>2500500</v>
      </c>
      <c r="D11" s="7">
        <v>87032290</v>
      </c>
      <c r="E11" s="9">
        <v>45292</v>
      </c>
      <c r="F11" s="7"/>
      <c r="G11" s="10">
        <v>0.3</v>
      </c>
      <c r="H11" s="10">
        <f t="shared" si="1"/>
        <v>0.55999999999999983</v>
      </c>
      <c r="I11" s="10">
        <f t="shared" si="2"/>
        <v>0.51124999999999976</v>
      </c>
      <c r="J11" s="10">
        <f t="shared" si="3"/>
        <v>0.43000000000000016</v>
      </c>
      <c r="K11" s="11">
        <v>0.2</v>
      </c>
      <c r="L11" s="12"/>
      <c r="M11" s="12"/>
      <c r="N11" s="4" t="s">
        <v>25</v>
      </c>
      <c r="O11" s="12" t="s">
        <v>74</v>
      </c>
    </row>
    <row r="12" spans="1:15" ht="12" x14ac:dyDescent="0.3">
      <c r="A12" s="6" t="str">
        <f t="shared" si="0"/>
        <v>25</v>
      </c>
      <c r="B12" s="7" t="s">
        <v>26</v>
      </c>
      <c r="C12" s="8">
        <v>2500600</v>
      </c>
      <c r="D12" s="7">
        <v>87032310</v>
      </c>
      <c r="E12" s="9">
        <v>43592</v>
      </c>
      <c r="F12" s="9">
        <v>45291</v>
      </c>
      <c r="G12" s="10">
        <v>0.3</v>
      </c>
      <c r="H12" s="10">
        <f t="shared" si="1"/>
        <v>0.52195121951219492</v>
      </c>
      <c r="I12" s="10">
        <f t="shared" si="2"/>
        <v>0.47439024390243878</v>
      </c>
      <c r="J12" s="10">
        <f t="shared" si="3"/>
        <v>0.39512195121951232</v>
      </c>
      <c r="K12" s="11">
        <v>0.18</v>
      </c>
      <c r="L12" s="12"/>
      <c r="M12" s="12"/>
      <c r="N12" s="4" t="s">
        <v>27</v>
      </c>
      <c r="O12" s="12" t="s">
        <v>17</v>
      </c>
    </row>
    <row r="13" spans="1:15" ht="12" x14ac:dyDescent="0.3">
      <c r="A13" s="6" t="str">
        <f t="shared" si="0"/>
        <v>25</v>
      </c>
      <c r="B13" s="7" t="s">
        <v>26</v>
      </c>
      <c r="C13" s="8">
        <v>2500600</v>
      </c>
      <c r="D13" s="7">
        <v>87032310</v>
      </c>
      <c r="E13" s="9">
        <v>45292</v>
      </c>
      <c r="F13" s="7"/>
      <c r="G13" s="10">
        <v>0.3</v>
      </c>
      <c r="H13" s="10">
        <f t="shared" si="1"/>
        <v>0.55999999999999983</v>
      </c>
      <c r="I13" s="10">
        <f t="shared" si="2"/>
        <v>0.51124999999999976</v>
      </c>
      <c r="J13" s="10">
        <f t="shared" si="3"/>
        <v>0.43000000000000016</v>
      </c>
      <c r="K13" s="11">
        <v>0.2</v>
      </c>
      <c r="L13" s="12"/>
      <c r="M13" s="12"/>
      <c r="N13" s="4" t="s">
        <v>27</v>
      </c>
      <c r="O13" s="12" t="s">
        <v>74</v>
      </c>
    </row>
    <row r="14" spans="1:15" ht="12" x14ac:dyDescent="0.3">
      <c r="A14" s="6" t="str">
        <f t="shared" si="0"/>
        <v>25</v>
      </c>
      <c r="B14" s="7" t="s">
        <v>28</v>
      </c>
      <c r="C14" s="8">
        <v>2500700</v>
      </c>
      <c r="D14" s="7">
        <v>87032390</v>
      </c>
      <c r="E14" s="9">
        <v>43592</v>
      </c>
      <c r="F14" s="9">
        <v>45291</v>
      </c>
      <c r="G14" s="10">
        <v>0.3</v>
      </c>
      <c r="H14" s="10">
        <f t="shared" si="1"/>
        <v>0.52195121951219492</v>
      </c>
      <c r="I14" s="10">
        <f t="shared" si="2"/>
        <v>0.47439024390243878</v>
      </c>
      <c r="J14" s="10">
        <f t="shared" si="3"/>
        <v>0.39512195121951232</v>
      </c>
      <c r="K14" s="11">
        <v>0.18</v>
      </c>
      <c r="L14" s="12"/>
      <c r="M14" s="12"/>
      <c r="N14" s="4" t="s">
        <v>29</v>
      </c>
      <c r="O14" s="12" t="s">
        <v>17</v>
      </c>
    </row>
    <row r="15" spans="1:15" ht="12" x14ac:dyDescent="0.3">
      <c r="A15" s="6" t="str">
        <f t="shared" si="0"/>
        <v>25</v>
      </c>
      <c r="B15" s="7" t="s">
        <v>28</v>
      </c>
      <c r="C15" s="8">
        <v>2500700</v>
      </c>
      <c r="D15" s="7">
        <v>87032390</v>
      </c>
      <c r="E15" s="9">
        <v>45292</v>
      </c>
      <c r="F15" s="7"/>
      <c r="G15" s="10">
        <v>0.3</v>
      </c>
      <c r="H15" s="10">
        <f t="shared" si="1"/>
        <v>0.55999999999999983</v>
      </c>
      <c r="I15" s="10">
        <f t="shared" si="2"/>
        <v>0.51124999999999976</v>
      </c>
      <c r="J15" s="10">
        <f t="shared" si="3"/>
        <v>0.43000000000000016</v>
      </c>
      <c r="K15" s="11">
        <v>0.2</v>
      </c>
      <c r="L15" s="12"/>
      <c r="M15" s="12"/>
      <c r="N15" s="4" t="s">
        <v>29</v>
      </c>
      <c r="O15" s="12" t="s">
        <v>74</v>
      </c>
    </row>
    <row r="16" spans="1:15" ht="12" x14ac:dyDescent="0.3">
      <c r="A16" s="6" t="str">
        <f t="shared" si="0"/>
        <v>25</v>
      </c>
      <c r="B16" s="7" t="s">
        <v>30</v>
      </c>
      <c r="C16" s="8">
        <v>2500800</v>
      </c>
      <c r="D16" s="7">
        <v>87032410</v>
      </c>
      <c r="E16" s="9">
        <v>43592</v>
      </c>
      <c r="F16" s="9">
        <v>45291</v>
      </c>
      <c r="G16" s="10">
        <v>0.3</v>
      </c>
      <c r="H16" s="10">
        <f t="shared" si="1"/>
        <v>0.52195121951219492</v>
      </c>
      <c r="I16" s="10">
        <f t="shared" si="2"/>
        <v>0.47439024390243878</v>
      </c>
      <c r="J16" s="10">
        <f t="shared" si="3"/>
        <v>0.39512195121951232</v>
      </c>
      <c r="K16" s="11">
        <v>0.18</v>
      </c>
      <c r="L16" s="12"/>
      <c r="M16" s="12"/>
      <c r="N16" s="4" t="s">
        <v>31</v>
      </c>
      <c r="O16" s="12" t="s">
        <v>17</v>
      </c>
    </row>
    <row r="17" spans="1:15" ht="12" x14ac:dyDescent="0.3">
      <c r="A17" s="6" t="str">
        <f t="shared" si="0"/>
        <v>25</v>
      </c>
      <c r="B17" s="7" t="s">
        <v>30</v>
      </c>
      <c r="C17" s="8">
        <v>2500800</v>
      </c>
      <c r="D17" s="7">
        <v>87032410</v>
      </c>
      <c r="E17" s="9">
        <v>45292</v>
      </c>
      <c r="F17" s="7"/>
      <c r="G17" s="10">
        <v>0.3</v>
      </c>
      <c r="H17" s="10">
        <f t="shared" si="1"/>
        <v>0.55999999999999983</v>
      </c>
      <c r="I17" s="10">
        <f t="shared" si="2"/>
        <v>0.51124999999999976</v>
      </c>
      <c r="J17" s="10">
        <f t="shared" si="3"/>
        <v>0.43000000000000016</v>
      </c>
      <c r="K17" s="11">
        <v>0.2</v>
      </c>
      <c r="L17" s="12"/>
      <c r="M17" s="12"/>
      <c r="N17" s="4" t="s">
        <v>31</v>
      </c>
      <c r="O17" s="12" t="s">
        <v>74</v>
      </c>
    </row>
    <row r="18" spans="1:15" ht="12" x14ac:dyDescent="0.3">
      <c r="A18" s="6" t="str">
        <f t="shared" si="0"/>
        <v>25</v>
      </c>
      <c r="B18" s="7" t="s">
        <v>32</v>
      </c>
      <c r="C18" s="8">
        <v>2500900</v>
      </c>
      <c r="D18" s="7">
        <v>87032490</v>
      </c>
      <c r="E18" s="9">
        <v>43592</v>
      </c>
      <c r="F18" s="9">
        <v>45291</v>
      </c>
      <c r="G18" s="10">
        <v>0.3</v>
      </c>
      <c r="H18" s="10">
        <f t="shared" si="1"/>
        <v>0.52195121951219492</v>
      </c>
      <c r="I18" s="10">
        <f t="shared" si="2"/>
        <v>0.47439024390243878</v>
      </c>
      <c r="J18" s="10">
        <f t="shared" si="3"/>
        <v>0.39512195121951232</v>
      </c>
      <c r="K18" s="11">
        <v>0.18</v>
      </c>
      <c r="L18" s="12"/>
      <c r="M18" s="12"/>
      <c r="N18" s="4" t="s">
        <v>33</v>
      </c>
      <c r="O18" s="12" t="s">
        <v>17</v>
      </c>
    </row>
    <row r="19" spans="1:15" ht="12" x14ac:dyDescent="0.3">
      <c r="A19" s="6" t="str">
        <f t="shared" si="0"/>
        <v>25</v>
      </c>
      <c r="B19" s="7" t="s">
        <v>32</v>
      </c>
      <c r="C19" s="8">
        <v>2500900</v>
      </c>
      <c r="D19" s="7">
        <v>87032490</v>
      </c>
      <c r="E19" s="9">
        <v>45292</v>
      </c>
      <c r="F19" s="7"/>
      <c r="G19" s="10">
        <v>0.3</v>
      </c>
      <c r="H19" s="10">
        <f t="shared" si="1"/>
        <v>0.55999999999999983</v>
      </c>
      <c r="I19" s="10">
        <f t="shared" si="2"/>
        <v>0.51124999999999976</v>
      </c>
      <c r="J19" s="10">
        <f t="shared" si="3"/>
        <v>0.43000000000000016</v>
      </c>
      <c r="K19" s="11">
        <v>0.2</v>
      </c>
      <c r="L19" s="12"/>
      <c r="M19" s="12"/>
      <c r="N19" s="4" t="s">
        <v>33</v>
      </c>
      <c r="O19" s="12" t="s">
        <v>74</v>
      </c>
    </row>
    <row r="20" spans="1:15" ht="12" x14ac:dyDescent="0.3">
      <c r="A20" s="6" t="str">
        <f t="shared" si="0"/>
        <v>25</v>
      </c>
      <c r="B20" s="7" t="s">
        <v>34</v>
      </c>
      <c r="C20" s="8">
        <v>2501000</v>
      </c>
      <c r="D20" s="7">
        <v>87033210</v>
      </c>
      <c r="E20" s="9">
        <v>43592</v>
      </c>
      <c r="F20" s="9">
        <v>45291</v>
      </c>
      <c r="G20" s="10">
        <v>0.3</v>
      </c>
      <c r="H20" s="10">
        <f t="shared" si="1"/>
        <v>0.52195121951219492</v>
      </c>
      <c r="I20" s="10">
        <f t="shared" si="2"/>
        <v>0.47439024390243878</v>
      </c>
      <c r="J20" s="10">
        <f t="shared" si="3"/>
        <v>0.39512195121951232</v>
      </c>
      <c r="K20" s="11">
        <v>0.18</v>
      </c>
      <c r="L20" s="12"/>
      <c r="M20" s="12"/>
      <c r="N20" s="4" t="s">
        <v>35</v>
      </c>
      <c r="O20" s="12" t="s">
        <v>17</v>
      </c>
    </row>
    <row r="21" spans="1:15" ht="12" x14ac:dyDescent="0.3">
      <c r="A21" s="6" t="str">
        <f t="shared" si="0"/>
        <v>25</v>
      </c>
      <c r="B21" s="7" t="s">
        <v>34</v>
      </c>
      <c r="C21" s="8">
        <v>2501000</v>
      </c>
      <c r="D21" s="7">
        <v>87033210</v>
      </c>
      <c r="E21" s="9">
        <v>45292</v>
      </c>
      <c r="F21" s="7"/>
      <c r="G21" s="10">
        <v>0.3</v>
      </c>
      <c r="H21" s="10">
        <f t="shared" si="1"/>
        <v>0.55999999999999983</v>
      </c>
      <c r="I21" s="10">
        <f t="shared" si="2"/>
        <v>0.51124999999999976</v>
      </c>
      <c r="J21" s="10">
        <f t="shared" si="3"/>
        <v>0.43000000000000016</v>
      </c>
      <c r="K21" s="11">
        <v>0.2</v>
      </c>
      <c r="L21" s="12"/>
      <c r="M21" s="12"/>
      <c r="N21" s="4" t="s">
        <v>35</v>
      </c>
      <c r="O21" s="12" t="s">
        <v>74</v>
      </c>
    </row>
    <row r="22" spans="1:15" ht="12" x14ac:dyDescent="0.3">
      <c r="A22" s="6" t="str">
        <f t="shared" si="0"/>
        <v>25</v>
      </c>
      <c r="B22" s="7" t="s">
        <v>36</v>
      </c>
      <c r="C22" s="8">
        <v>2501100</v>
      </c>
      <c r="D22" s="7">
        <v>87033290</v>
      </c>
      <c r="E22" s="9">
        <v>43592</v>
      </c>
      <c r="F22" s="9">
        <v>45291</v>
      </c>
      <c r="G22" s="10">
        <v>0.3</v>
      </c>
      <c r="H22" s="10">
        <f t="shared" si="1"/>
        <v>0.52195121951219492</v>
      </c>
      <c r="I22" s="10">
        <f t="shared" si="2"/>
        <v>0.47439024390243878</v>
      </c>
      <c r="J22" s="10">
        <f t="shared" si="3"/>
        <v>0.39512195121951232</v>
      </c>
      <c r="K22" s="11">
        <v>0.18</v>
      </c>
      <c r="L22" s="12"/>
      <c r="M22" s="12"/>
      <c r="N22" s="4" t="s">
        <v>37</v>
      </c>
      <c r="O22" s="12" t="s">
        <v>17</v>
      </c>
    </row>
    <row r="23" spans="1:15" ht="12" x14ac:dyDescent="0.3">
      <c r="A23" s="6" t="str">
        <f t="shared" si="0"/>
        <v>25</v>
      </c>
      <c r="B23" s="7" t="s">
        <v>36</v>
      </c>
      <c r="C23" s="8">
        <v>2501100</v>
      </c>
      <c r="D23" s="7">
        <v>87033290</v>
      </c>
      <c r="E23" s="9">
        <v>45292</v>
      </c>
      <c r="F23" s="7"/>
      <c r="G23" s="10">
        <v>0.3</v>
      </c>
      <c r="H23" s="10">
        <f t="shared" si="1"/>
        <v>0.55999999999999983</v>
      </c>
      <c r="I23" s="10">
        <f t="shared" si="2"/>
        <v>0.51124999999999976</v>
      </c>
      <c r="J23" s="10">
        <f t="shared" si="3"/>
        <v>0.43000000000000016</v>
      </c>
      <c r="K23" s="11">
        <v>0.2</v>
      </c>
      <c r="L23" s="12"/>
      <c r="M23" s="12"/>
      <c r="N23" s="4" t="s">
        <v>37</v>
      </c>
      <c r="O23" s="12" t="s">
        <v>74</v>
      </c>
    </row>
    <row r="24" spans="1:15" ht="12" x14ac:dyDescent="0.3">
      <c r="A24" s="6" t="str">
        <f t="shared" si="0"/>
        <v>25</v>
      </c>
      <c r="B24" s="7" t="s">
        <v>38</v>
      </c>
      <c r="C24" s="8">
        <v>2501200</v>
      </c>
      <c r="D24" s="7">
        <v>87033310</v>
      </c>
      <c r="E24" s="9">
        <v>43592</v>
      </c>
      <c r="F24" s="9">
        <v>45291</v>
      </c>
      <c r="G24" s="10">
        <v>0.3</v>
      </c>
      <c r="H24" s="10">
        <f t="shared" si="1"/>
        <v>0.52195121951219492</v>
      </c>
      <c r="I24" s="10">
        <f t="shared" si="2"/>
        <v>0.47439024390243878</v>
      </c>
      <c r="J24" s="10">
        <f t="shared" si="3"/>
        <v>0.39512195121951232</v>
      </c>
      <c r="K24" s="11">
        <v>0.18</v>
      </c>
      <c r="L24" s="12"/>
      <c r="M24" s="12"/>
      <c r="N24" s="4" t="s">
        <v>39</v>
      </c>
      <c r="O24" s="12" t="s">
        <v>17</v>
      </c>
    </row>
    <row r="25" spans="1:15" ht="12" x14ac:dyDescent="0.3">
      <c r="A25" s="6" t="str">
        <f t="shared" si="0"/>
        <v>25</v>
      </c>
      <c r="B25" s="7" t="s">
        <v>38</v>
      </c>
      <c r="C25" s="8">
        <v>2501200</v>
      </c>
      <c r="D25" s="7">
        <v>87033310</v>
      </c>
      <c r="E25" s="9">
        <v>45292</v>
      </c>
      <c r="F25" s="7"/>
      <c r="G25" s="10">
        <v>0.3</v>
      </c>
      <c r="H25" s="10">
        <f t="shared" si="1"/>
        <v>0.55999999999999983</v>
      </c>
      <c r="I25" s="10">
        <f t="shared" si="2"/>
        <v>0.51124999999999976</v>
      </c>
      <c r="J25" s="10">
        <f t="shared" si="3"/>
        <v>0.43000000000000016</v>
      </c>
      <c r="K25" s="11">
        <v>0.2</v>
      </c>
      <c r="L25" s="12"/>
      <c r="M25" s="12"/>
      <c r="N25" s="4" t="s">
        <v>39</v>
      </c>
      <c r="O25" s="12" t="s">
        <v>74</v>
      </c>
    </row>
    <row r="26" spans="1:15" ht="12" x14ac:dyDescent="0.3">
      <c r="A26" s="6" t="str">
        <f t="shared" si="0"/>
        <v>25</v>
      </c>
      <c r="B26" s="7" t="s">
        <v>40</v>
      </c>
      <c r="C26" s="8">
        <v>2501300</v>
      </c>
      <c r="D26" s="7">
        <v>87033390</v>
      </c>
      <c r="E26" s="9">
        <v>43592</v>
      </c>
      <c r="F26" s="9">
        <v>45291</v>
      </c>
      <c r="G26" s="10">
        <v>0.3</v>
      </c>
      <c r="H26" s="10">
        <f t="shared" si="1"/>
        <v>0.52195121951219492</v>
      </c>
      <c r="I26" s="10">
        <f t="shared" si="2"/>
        <v>0.47439024390243878</v>
      </c>
      <c r="J26" s="10">
        <f t="shared" si="3"/>
        <v>0.39512195121951232</v>
      </c>
      <c r="K26" s="11">
        <v>0.18</v>
      </c>
      <c r="L26" s="12"/>
      <c r="M26" s="12"/>
      <c r="N26" s="4" t="s">
        <v>41</v>
      </c>
      <c r="O26" s="12" t="s">
        <v>17</v>
      </c>
    </row>
    <row r="27" spans="1:15" ht="12" x14ac:dyDescent="0.3">
      <c r="A27" s="6" t="str">
        <f t="shared" si="0"/>
        <v>25</v>
      </c>
      <c r="B27" s="7" t="s">
        <v>40</v>
      </c>
      <c r="C27" s="8">
        <v>2501300</v>
      </c>
      <c r="D27" s="7">
        <v>87033390</v>
      </c>
      <c r="E27" s="9">
        <v>45292</v>
      </c>
      <c r="F27" s="7"/>
      <c r="G27" s="10">
        <v>0.3</v>
      </c>
      <c r="H27" s="10">
        <f t="shared" si="1"/>
        <v>0.55999999999999983</v>
      </c>
      <c r="I27" s="10">
        <f t="shared" si="2"/>
        <v>0.51124999999999976</v>
      </c>
      <c r="J27" s="10">
        <f t="shared" si="3"/>
        <v>0.43000000000000016</v>
      </c>
      <c r="K27" s="11">
        <v>0.2</v>
      </c>
      <c r="L27" s="12"/>
      <c r="M27" s="12"/>
      <c r="N27" s="4" t="s">
        <v>41</v>
      </c>
      <c r="O27" s="12" t="s">
        <v>74</v>
      </c>
    </row>
    <row r="28" spans="1:15" ht="12" x14ac:dyDescent="0.3">
      <c r="A28" s="6" t="str">
        <f t="shared" si="0"/>
        <v>25</v>
      </c>
      <c r="B28" s="7" t="s">
        <v>42</v>
      </c>
      <c r="C28" s="8">
        <v>2501400</v>
      </c>
      <c r="D28" s="7">
        <v>87042110</v>
      </c>
      <c r="E28" s="9">
        <v>43592</v>
      </c>
      <c r="F28" s="9">
        <v>45291</v>
      </c>
      <c r="G28" s="10">
        <v>0.3</v>
      </c>
      <c r="H28" s="10">
        <f t="shared" si="1"/>
        <v>0.52195121951219492</v>
      </c>
      <c r="I28" s="10">
        <f t="shared" si="2"/>
        <v>0.47439024390243878</v>
      </c>
      <c r="J28" s="10">
        <f t="shared" si="3"/>
        <v>0.39512195121951232</v>
      </c>
      <c r="K28" s="11">
        <v>0.18</v>
      </c>
      <c r="L28" s="12"/>
      <c r="M28" s="12"/>
      <c r="N28" s="4" t="s">
        <v>43</v>
      </c>
      <c r="O28" s="12" t="s">
        <v>17</v>
      </c>
    </row>
    <row r="29" spans="1:15" ht="12" x14ac:dyDescent="0.3">
      <c r="A29" s="6" t="str">
        <f t="shared" si="0"/>
        <v>25</v>
      </c>
      <c r="B29" s="7" t="s">
        <v>42</v>
      </c>
      <c r="C29" s="8">
        <v>2501400</v>
      </c>
      <c r="D29" s="7">
        <v>87042110</v>
      </c>
      <c r="E29" s="9">
        <v>45292</v>
      </c>
      <c r="F29" s="7"/>
      <c r="G29" s="10">
        <v>0.3</v>
      </c>
      <c r="H29" s="10">
        <f t="shared" si="1"/>
        <v>0.55999999999999983</v>
      </c>
      <c r="I29" s="10">
        <f t="shared" si="2"/>
        <v>0.51124999999999976</v>
      </c>
      <c r="J29" s="10">
        <f t="shared" si="3"/>
        <v>0.43000000000000016</v>
      </c>
      <c r="K29" s="11">
        <v>0.2</v>
      </c>
      <c r="L29" s="12"/>
      <c r="M29" s="12"/>
      <c r="N29" s="4" t="s">
        <v>43</v>
      </c>
      <c r="O29" s="12" t="s">
        <v>74</v>
      </c>
    </row>
    <row r="30" spans="1:15" ht="12" x14ac:dyDescent="0.3">
      <c r="A30" s="6" t="str">
        <f t="shared" si="0"/>
        <v>25</v>
      </c>
      <c r="B30" s="7" t="s">
        <v>44</v>
      </c>
      <c r="C30" s="8">
        <v>2501500</v>
      </c>
      <c r="D30" s="7">
        <v>87042120</v>
      </c>
      <c r="E30" s="9">
        <v>43592</v>
      </c>
      <c r="F30" s="9">
        <v>45291</v>
      </c>
      <c r="G30" s="10">
        <v>0.3</v>
      </c>
      <c r="H30" s="10">
        <f t="shared" si="1"/>
        <v>0.52195121951219492</v>
      </c>
      <c r="I30" s="10">
        <f t="shared" si="2"/>
        <v>0.47439024390243878</v>
      </c>
      <c r="J30" s="10">
        <f t="shared" si="3"/>
        <v>0.39512195121951232</v>
      </c>
      <c r="K30" s="11">
        <v>0.18</v>
      </c>
      <c r="L30" s="12"/>
      <c r="M30" s="12"/>
      <c r="N30" s="4" t="s">
        <v>45</v>
      </c>
      <c r="O30" s="12" t="s">
        <v>17</v>
      </c>
    </row>
    <row r="31" spans="1:15" ht="12" x14ac:dyDescent="0.3">
      <c r="A31" s="6" t="str">
        <f t="shared" si="0"/>
        <v>25</v>
      </c>
      <c r="B31" s="7" t="s">
        <v>44</v>
      </c>
      <c r="C31" s="8">
        <v>2501500</v>
      </c>
      <c r="D31" s="7">
        <v>87042120</v>
      </c>
      <c r="E31" s="9">
        <v>45292</v>
      </c>
      <c r="F31" s="7"/>
      <c r="G31" s="10">
        <v>0.3</v>
      </c>
      <c r="H31" s="10">
        <f t="shared" si="1"/>
        <v>0.55999999999999983</v>
      </c>
      <c r="I31" s="10">
        <f t="shared" si="2"/>
        <v>0.51124999999999976</v>
      </c>
      <c r="J31" s="10">
        <f t="shared" si="3"/>
        <v>0.43000000000000016</v>
      </c>
      <c r="K31" s="11">
        <v>0.2</v>
      </c>
      <c r="L31" s="12"/>
      <c r="M31" s="12"/>
      <c r="N31" s="4" t="s">
        <v>45</v>
      </c>
      <c r="O31" s="12" t="s">
        <v>74</v>
      </c>
    </row>
    <row r="32" spans="1:15" ht="12" x14ac:dyDescent="0.3">
      <c r="A32" s="6" t="str">
        <f t="shared" si="0"/>
        <v>25</v>
      </c>
      <c r="B32" s="7" t="s">
        <v>46</v>
      </c>
      <c r="C32" s="8">
        <v>2501600</v>
      </c>
      <c r="D32" s="7">
        <v>87042130</v>
      </c>
      <c r="E32" s="9">
        <v>43592</v>
      </c>
      <c r="F32" s="9">
        <v>45291</v>
      </c>
      <c r="G32" s="10">
        <v>0.3</v>
      </c>
      <c r="H32" s="10">
        <f t="shared" si="1"/>
        <v>0.52195121951219492</v>
      </c>
      <c r="I32" s="10">
        <f t="shared" si="2"/>
        <v>0.47439024390243878</v>
      </c>
      <c r="J32" s="10">
        <f t="shared" si="3"/>
        <v>0.39512195121951232</v>
      </c>
      <c r="K32" s="11">
        <v>0.18</v>
      </c>
      <c r="L32" s="12"/>
      <c r="M32" s="12"/>
      <c r="N32" s="4" t="s">
        <v>47</v>
      </c>
      <c r="O32" s="12" t="s">
        <v>17</v>
      </c>
    </row>
    <row r="33" spans="1:15" ht="12" x14ac:dyDescent="0.3">
      <c r="A33" s="6" t="str">
        <f t="shared" si="0"/>
        <v>25</v>
      </c>
      <c r="B33" s="7" t="s">
        <v>46</v>
      </c>
      <c r="C33" s="8">
        <v>2501600</v>
      </c>
      <c r="D33" s="7">
        <v>87042130</v>
      </c>
      <c r="E33" s="9">
        <v>45292</v>
      </c>
      <c r="F33" s="7"/>
      <c r="G33" s="10">
        <v>0.3</v>
      </c>
      <c r="H33" s="10">
        <f t="shared" si="1"/>
        <v>0.55999999999999983</v>
      </c>
      <c r="I33" s="10">
        <f t="shared" si="2"/>
        <v>0.51124999999999976</v>
      </c>
      <c r="J33" s="10">
        <f t="shared" si="3"/>
        <v>0.43000000000000016</v>
      </c>
      <c r="K33" s="11">
        <v>0.2</v>
      </c>
      <c r="L33" s="12"/>
      <c r="M33" s="12"/>
      <c r="N33" s="4" t="s">
        <v>47</v>
      </c>
      <c r="O33" s="12" t="s">
        <v>74</v>
      </c>
    </row>
    <row r="34" spans="1:15" ht="12" x14ac:dyDescent="0.3">
      <c r="A34" s="6" t="str">
        <f t="shared" ref="A34:A59" si="4">LEFT(C34,2)</f>
        <v>25</v>
      </c>
      <c r="B34" s="7" t="s">
        <v>48</v>
      </c>
      <c r="C34" s="8">
        <v>2501700</v>
      </c>
      <c r="D34" s="7">
        <v>87042190</v>
      </c>
      <c r="E34" s="9">
        <v>43592</v>
      </c>
      <c r="F34" s="9">
        <v>45291</v>
      </c>
      <c r="G34" s="10">
        <v>0.3</v>
      </c>
      <c r="H34" s="10">
        <f t="shared" ref="H34:H59" si="5">((1+G34)*(1-4%)/(1-K34))-1</f>
        <v>0.52195121951219492</v>
      </c>
      <c r="I34" s="10">
        <f t="shared" ref="I34:I59" si="6">((1+G34)*(1-7%)/(1-K34))-1</f>
        <v>0.47439024390243878</v>
      </c>
      <c r="J34" s="10">
        <f t="shared" ref="J34:J59" si="7">((1+G34)*(1-12%)/(1-K34))-1</f>
        <v>0.39512195121951232</v>
      </c>
      <c r="K34" s="11">
        <v>0.18</v>
      </c>
      <c r="L34" s="12"/>
      <c r="M34" s="12"/>
      <c r="N34" s="4" t="s">
        <v>49</v>
      </c>
      <c r="O34" s="12" t="s">
        <v>17</v>
      </c>
    </row>
    <row r="35" spans="1:15" ht="12" x14ac:dyDescent="0.3">
      <c r="A35" s="6" t="str">
        <f t="shared" si="4"/>
        <v>25</v>
      </c>
      <c r="B35" s="7" t="s">
        <v>48</v>
      </c>
      <c r="C35" s="8">
        <v>2501700</v>
      </c>
      <c r="D35" s="7">
        <v>87042190</v>
      </c>
      <c r="E35" s="9">
        <v>45292</v>
      </c>
      <c r="F35" s="7"/>
      <c r="G35" s="10">
        <v>0.3</v>
      </c>
      <c r="H35" s="10">
        <f t="shared" si="5"/>
        <v>0.55999999999999983</v>
      </c>
      <c r="I35" s="10">
        <f t="shared" si="6"/>
        <v>0.51124999999999976</v>
      </c>
      <c r="J35" s="10">
        <f t="shared" si="7"/>
        <v>0.43000000000000016</v>
      </c>
      <c r="K35" s="11">
        <v>0.2</v>
      </c>
      <c r="L35" s="12"/>
      <c r="M35" s="12"/>
      <c r="N35" s="4" t="s">
        <v>49</v>
      </c>
      <c r="O35" s="12" t="s">
        <v>74</v>
      </c>
    </row>
    <row r="36" spans="1:15" ht="12" x14ac:dyDescent="0.3">
      <c r="A36" s="6" t="str">
        <f t="shared" si="4"/>
        <v>25</v>
      </c>
      <c r="B36" s="7" t="s">
        <v>50</v>
      </c>
      <c r="C36" s="8">
        <v>2501800</v>
      </c>
      <c r="D36" s="7">
        <v>87043110</v>
      </c>
      <c r="E36" s="9">
        <v>43592</v>
      </c>
      <c r="F36" s="9">
        <v>45291</v>
      </c>
      <c r="G36" s="10">
        <v>0.3</v>
      </c>
      <c r="H36" s="10">
        <f t="shared" si="5"/>
        <v>0.52195121951219492</v>
      </c>
      <c r="I36" s="10">
        <f t="shared" si="6"/>
        <v>0.47439024390243878</v>
      </c>
      <c r="J36" s="10">
        <f t="shared" si="7"/>
        <v>0.39512195121951232</v>
      </c>
      <c r="K36" s="11">
        <v>0.18</v>
      </c>
      <c r="L36" s="12"/>
      <c r="M36" s="12"/>
      <c r="N36" s="4" t="s">
        <v>51</v>
      </c>
      <c r="O36" s="12" t="s">
        <v>17</v>
      </c>
    </row>
    <row r="37" spans="1:15" ht="12" x14ac:dyDescent="0.3">
      <c r="A37" s="6" t="str">
        <f t="shared" si="4"/>
        <v>25</v>
      </c>
      <c r="B37" s="7" t="s">
        <v>50</v>
      </c>
      <c r="C37" s="8">
        <v>2501800</v>
      </c>
      <c r="D37" s="7">
        <v>87043110</v>
      </c>
      <c r="E37" s="9">
        <v>45292</v>
      </c>
      <c r="F37" s="7"/>
      <c r="G37" s="10">
        <v>0.3</v>
      </c>
      <c r="H37" s="10">
        <f t="shared" si="5"/>
        <v>0.55999999999999983</v>
      </c>
      <c r="I37" s="10">
        <f t="shared" si="6"/>
        <v>0.51124999999999976</v>
      </c>
      <c r="J37" s="10">
        <f t="shared" si="7"/>
        <v>0.43000000000000016</v>
      </c>
      <c r="K37" s="11">
        <v>0.2</v>
      </c>
      <c r="L37" s="12"/>
      <c r="M37" s="12"/>
      <c r="N37" s="4" t="s">
        <v>51</v>
      </c>
      <c r="O37" s="12" t="s">
        <v>74</v>
      </c>
    </row>
    <row r="38" spans="1:15" ht="12" x14ac:dyDescent="0.3">
      <c r="A38" s="6" t="str">
        <f t="shared" si="4"/>
        <v>25</v>
      </c>
      <c r="B38" s="7" t="s">
        <v>52</v>
      </c>
      <c r="C38" s="8">
        <v>2501900</v>
      </c>
      <c r="D38" s="7">
        <v>87043120</v>
      </c>
      <c r="E38" s="9">
        <v>43592</v>
      </c>
      <c r="F38" s="9">
        <v>45291</v>
      </c>
      <c r="G38" s="10">
        <v>0.3</v>
      </c>
      <c r="H38" s="10">
        <f t="shared" si="5"/>
        <v>0.52195121951219492</v>
      </c>
      <c r="I38" s="10">
        <f t="shared" si="6"/>
        <v>0.47439024390243878</v>
      </c>
      <c r="J38" s="10">
        <f t="shared" si="7"/>
        <v>0.39512195121951232</v>
      </c>
      <c r="K38" s="11">
        <v>0.18</v>
      </c>
      <c r="L38" s="12"/>
      <c r="M38" s="12"/>
      <c r="N38" s="4" t="s">
        <v>53</v>
      </c>
      <c r="O38" s="12" t="s">
        <v>17</v>
      </c>
    </row>
    <row r="39" spans="1:15" ht="12" x14ac:dyDescent="0.3">
      <c r="A39" s="6" t="str">
        <f t="shared" si="4"/>
        <v>25</v>
      </c>
      <c r="B39" s="7" t="s">
        <v>52</v>
      </c>
      <c r="C39" s="8">
        <v>2501900</v>
      </c>
      <c r="D39" s="7">
        <v>87043120</v>
      </c>
      <c r="E39" s="9">
        <v>45292</v>
      </c>
      <c r="F39" s="7"/>
      <c r="G39" s="10">
        <v>0.3</v>
      </c>
      <c r="H39" s="10">
        <f t="shared" si="5"/>
        <v>0.55999999999999983</v>
      </c>
      <c r="I39" s="10">
        <f t="shared" si="6"/>
        <v>0.51124999999999976</v>
      </c>
      <c r="J39" s="10">
        <f t="shared" si="7"/>
        <v>0.43000000000000016</v>
      </c>
      <c r="K39" s="11">
        <v>0.2</v>
      </c>
      <c r="L39" s="12"/>
      <c r="M39" s="12"/>
      <c r="N39" s="4" t="s">
        <v>53</v>
      </c>
      <c r="O39" s="12" t="s">
        <v>74</v>
      </c>
    </row>
    <row r="40" spans="1:15" ht="12" x14ac:dyDescent="0.3">
      <c r="A40" s="6" t="str">
        <f t="shared" si="4"/>
        <v>25</v>
      </c>
      <c r="B40" s="7" t="s">
        <v>54</v>
      </c>
      <c r="C40" s="8">
        <v>2502000</v>
      </c>
      <c r="D40" s="7">
        <v>87043130</v>
      </c>
      <c r="E40" s="9">
        <v>43592</v>
      </c>
      <c r="F40" s="9">
        <v>45291</v>
      </c>
      <c r="G40" s="10">
        <v>0.3</v>
      </c>
      <c r="H40" s="10">
        <f t="shared" si="5"/>
        <v>0.52195121951219492</v>
      </c>
      <c r="I40" s="10">
        <f t="shared" si="6"/>
        <v>0.47439024390243878</v>
      </c>
      <c r="J40" s="10">
        <f t="shared" si="7"/>
        <v>0.39512195121951232</v>
      </c>
      <c r="K40" s="11">
        <v>0.18</v>
      </c>
      <c r="L40" s="12"/>
      <c r="M40" s="12"/>
      <c r="N40" s="4" t="s">
        <v>55</v>
      </c>
      <c r="O40" s="12" t="s">
        <v>17</v>
      </c>
    </row>
    <row r="41" spans="1:15" ht="12" x14ac:dyDescent="0.3">
      <c r="A41" s="6" t="str">
        <f t="shared" si="4"/>
        <v>25</v>
      </c>
      <c r="B41" s="7" t="s">
        <v>54</v>
      </c>
      <c r="C41" s="8">
        <v>2502000</v>
      </c>
      <c r="D41" s="7">
        <v>87043130</v>
      </c>
      <c r="E41" s="9">
        <v>45292</v>
      </c>
      <c r="F41" s="7"/>
      <c r="G41" s="10">
        <v>0.3</v>
      </c>
      <c r="H41" s="10">
        <f t="shared" si="5"/>
        <v>0.55999999999999983</v>
      </c>
      <c r="I41" s="10">
        <f t="shared" si="6"/>
        <v>0.51124999999999976</v>
      </c>
      <c r="J41" s="10">
        <f t="shared" si="7"/>
        <v>0.43000000000000016</v>
      </c>
      <c r="K41" s="11">
        <v>0.2</v>
      </c>
      <c r="L41" s="12"/>
      <c r="M41" s="12"/>
      <c r="N41" s="4" t="s">
        <v>55</v>
      </c>
      <c r="O41" s="12" t="s">
        <v>74</v>
      </c>
    </row>
    <row r="42" spans="1:15" ht="12" x14ac:dyDescent="0.3">
      <c r="A42" s="6" t="str">
        <f t="shared" si="4"/>
        <v>25</v>
      </c>
      <c r="B42" s="7" t="s">
        <v>56</v>
      </c>
      <c r="C42" s="8">
        <v>2502100</v>
      </c>
      <c r="D42" s="7">
        <v>87043190</v>
      </c>
      <c r="E42" s="9">
        <v>43592</v>
      </c>
      <c r="F42" s="9">
        <v>45291</v>
      </c>
      <c r="G42" s="10">
        <v>0.3</v>
      </c>
      <c r="H42" s="10">
        <f t="shared" si="5"/>
        <v>0.52195121951219492</v>
      </c>
      <c r="I42" s="10">
        <f t="shared" si="6"/>
        <v>0.47439024390243878</v>
      </c>
      <c r="J42" s="10">
        <f t="shared" si="7"/>
        <v>0.39512195121951232</v>
      </c>
      <c r="K42" s="11">
        <v>0.18</v>
      </c>
      <c r="L42" s="12"/>
      <c r="M42" s="12"/>
      <c r="N42" s="4" t="s">
        <v>57</v>
      </c>
      <c r="O42" s="12" t="s">
        <v>17</v>
      </c>
    </row>
    <row r="43" spans="1:15" ht="12" x14ac:dyDescent="0.3">
      <c r="A43" s="6" t="str">
        <f t="shared" si="4"/>
        <v>25</v>
      </c>
      <c r="B43" s="7" t="s">
        <v>56</v>
      </c>
      <c r="C43" s="8">
        <v>2502100</v>
      </c>
      <c r="D43" s="7">
        <v>87043190</v>
      </c>
      <c r="E43" s="9">
        <v>45292</v>
      </c>
      <c r="F43" s="7"/>
      <c r="G43" s="10">
        <v>0.3</v>
      </c>
      <c r="H43" s="10">
        <f t="shared" si="5"/>
        <v>0.55999999999999983</v>
      </c>
      <c r="I43" s="10">
        <f t="shared" si="6"/>
        <v>0.51124999999999976</v>
      </c>
      <c r="J43" s="10">
        <f t="shared" si="7"/>
        <v>0.43000000000000016</v>
      </c>
      <c r="K43" s="11">
        <v>0.2</v>
      </c>
      <c r="L43" s="12"/>
      <c r="M43" s="12"/>
      <c r="N43" s="4" t="s">
        <v>57</v>
      </c>
      <c r="O43" s="12" t="s">
        <v>74</v>
      </c>
    </row>
    <row r="44" spans="1:15" ht="12" x14ac:dyDescent="0.3">
      <c r="A44" s="6" t="str">
        <f t="shared" si="4"/>
        <v>25</v>
      </c>
      <c r="B44" s="7" t="s">
        <v>58</v>
      </c>
      <c r="C44" s="8">
        <v>2502200</v>
      </c>
      <c r="D44" s="7">
        <v>87022000</v>
      </c>
      <c r="E44" s="9">
        <v>43592</v>
      </c>
      <c r="F44" s="9">
        <v>45291</v>
      </c>
      <c r="G44" s="10">
        <v>0.3</v>
      </c>
      <c r="H44" s="10">
        <f t="shared" si="5"/>
        <v>0.52195121951219492</v>
      </c>
      <c r="I44" s="10">
        <f t="shared" si="6"/>
        <v>0.47439024390243878</v>
      </c>
      <c r="J44" s="10">
        <f t="shared" si="7"/>
        <v>0.39512195121951232</v>
      </c>
      <c r="K44" s="11">
        <v>0.18</v>
      </c>
      <c r="L44" s="12"/>
      <c r="M44" s="12"/>
      <c r="N44" s="4" t="s">
        <v>59</v>
      </c>
      <c r="O44" s="12" t="s">
        <v>17</v>
      </c>
    </row>
    <row r="45" spans="1:15" ht="12" x14ac:dyDescent="0.3">
      <c r="A45" s="6" t="str">
        <f t="shared" si="4"/>
        <v>25</v>
      </c>
      <c r="B45" s="7" t="s">
        <v>58</v>
      </c>
      <c r="C45" s="8">
        <v>2502200</v>
      </c>
      <c r="D45" s="7">
        <v>87022000</v>
      </c>
      <c r="E45" s="9">
        <v>45292</v>
      </c>
      <c r="F45" s="7"/>
      <c r="G45" s="10">
        <v>0.3</v>
      </c>
      <c r="H45" s="10">
        <f t="shared" si="5"/>
        <v>0.55999999999999983</v>
      </c>
      <c r="I45" s="10">
        <f t="shared" si="6"/>
        <v>0.51124999999999976</v>
      </c>
      <c r="J45" s="10">
        <f t="shared" si="7"/>
        <v>0.43000000000000016</v>
      </c>
      <c r="K45" s="11">
        <v>0.2</v>
      </c>
      <c r="L45" s="12"/>
      <c r="M45" s="12"/>
      <c r="N45" s="4" t="s">
        <v>59</v>
      </c>
      <c r="O45" s="12" t="s">
        <v>74</v>
      </c>
    </row>
    <row r="46" spans="1:15" ht="12" x14ac:dyDescent="0.3">
      <c r="A46" s="6" t="str">
        <f t="shared" si="4"/>
        <v>25</v>
      </c>
      <c r="B46" s="7" t="s">
        <v>60</v>
      </c>
      <c r="C46" s="8">
        <v>2502300</v>
      </c>
      <c r="D46" s="7">
        <v>87023000</v>
      </c>
      <c r="E46" s="9">
        <v>43592</v>
      </c>
      <c r="F46" s="9">
        <v>45291</v>
      </c>
      <c r="G46" s="10">
        <v>0.3</v>
      </c>
      <c r="H46" s="10">
        <f t="shared" si="5"/>
        <v>0.52195121951219492</v>
      </c>
      <c r="I46" s="10">
        <f t="shared" si="6"/>
        <v>0.47439024390243878</v>
      </c>
      <c r="J46" s="10">
        <f t="shared" si="7"/>
        <v>0.39512195121951232</v>
      </c>
      <c r="K46" s="11">
        <v>0.18</v>
      </c>
      <c r="L46" s="12"/>
      <c r="M46" s="12"/>
      <c r="N46" s="4" t="s">
        <v>61</v>
      </c>
      <c r="O46" s="12" t="s">
        <v>17</v>
      </c>
    </row>
    <row r="47" spans="1:15" ht="12" x14ac:dyDescent="0.3">
      <c r="A47" s="6" t="str">
        <f t="shared" si="4"/>
        <v>25</v>
      </c>
      <c r="B47" s="7" t="s">
        <v>60</v>
      </c>
      <c r="C47" s="8">
        <v>2502300</v>
      </c>
      <c r="D47" s="7">
        <v>87023000</v>
      </c>
      <c r="E47" s="9">
        <v>45292</v>
      </c>
      <c r="F47" s="7"/>
      <c r="G47" s="10">
        <v>0.3</v>
      </c>
      <c r="H47" s="10">
        <f t="shared" si="5"/>
        <v>0.55999999999999983</v>
      </c>
      <c r="I47" s="10">
        <f t="shared" si="6"/>
        <v>0.51124999999999976</v>
      </c>
      <c r="J47" s="10">
        <f t="shared" si="7"/>
        <v>0.43000000000000016</v>
      </c>
      <c r="K47" s="11">
        <v>0.2</v>
      </c>
      <c r="L47" s="12"/>
      <c r="M47" s="12"/>
      <c r="N47" s="4" t="s">
        <v>61</v>
      </c>
      <c r="O47" s="12" t="s">
        <v>74</v>
      </c>
    </row>
    <row r="48" spans="1:15" ht="12" x14ac:dyDescent="0.3">
      <c r="A48" s="6" t="str">
        <f t="shared" si="4"/>
        <v>25</v>
      </c>
      <c r="B48" s="7" t="s">
        <v>62</v>
      </c>
      <c r="C48" s="8">
        <v>2502400</v>
      </c>
      <c r="D48" s="7">
        <v>87029000</v>
      </c>
      <c r="E48" s="9">
        <v>43592</v>
      </c>
      <c r="F48" s="9">
        <v>45291</v>
      </c>
      <c r="G48" s="10">
        <v>0.3</v>
      </c>
      <c r="H48" s="10">
        <f t="shared" si="5"/>
        <v>0.52195121951219492</v>
      </c>
      <c r="I48" s="10">
        <f t="shared" si="6"/>
        <v>0.47439024390243878</v>
      </c>
      <c r="J48" s="10">
        <f t="shared" si="7"/>
        <v>0.39512195121951232</v>
      </c>
      <c r="K48" s="11">
        <v>0.18</v>
      </c>
      <c r="L48" s="12"/>
      <c r="M48" s="12"/>
      <c r="N48" s="4" t="s">
        <v>63</v>
      </c>
      <c r="O48" s="12" t="s">
        <v>17</v>
      </c>
    </row>
    <row r="49" spans="1:15" ht="12" x14ac:dyDescent="0.3">
      <c r="A49" s="6" t="str">
        <f t="shared" si="4"/>
        <v>25</v>
      </c>
      <c r="B49" s="7" t="s">
        <v>62</v>
      </c>
      <c r="C49" s="8">
        <v>2502400</v>
      </c>
      <c r="D49" s="7">
        <v>87029000</v>
      </c>
      <c r="E49" s="9">
        <v>45292</v>
      </c>
      <c r="F49" s="7"/>
      <c r="G49" s="10">
        <v>0.3</v>
      </c>
      <c r="H49" s="10">
        <f t="shared" si="5"/>
        <v>0.55999999999999983</v>
      </c>
      <c r="I49" s="10">
        <f t="shared" si="6"/>
        <v>0.51124999999999976</v>
      </c>
      <c r="J49" s="10">
        <f t="shared" si="7"/>
        <v>0.43000000000000016</v>
      </c>
      <c r="K49" s="11">
        <v>0.2</v>
      </c>
      <c r="L49" s="12"/>
      <c r="M49" s="12"/>
      <c r="N49" s="4" t="s">
        <v>63</v>
      </c>
      <c r="O49" s="12" t="s">
        <v>74</v>
      </c>
    </row>
    <row r="50" spans="1:15" ht="12" x14ac:dyDescent="0.3">
      <c r="A50" s="6" t="str">
        <f t="shared" si="4"/>
        <v>25</v>
      </c>
      <c r="B50" s="7" t="s">
        <v>64</v>
      </c>
      <c r="C50" s="8">
        <v>2502500</v>
      </c>
      <c r="D50" s="7">
        <v>87034000</v>
      </c>
      <c r="E50" s="9">
        <v>43592</v>
      </c>
      <c r="F50" s="9">
        <v>45291</v>
      </c>
      <c r="G50" s="10">
        <v>0.3</v>
      </c>
      <c r="H50" s="10">
        <f t="shared" si="5"/>
        <v>0.52195121951219492</v>
      </c>
      <c r="I50" s="10">
        <f t="shared" si="6"/>
        <v>0.47439024390243878</v>
      </c>
      <c r="J50" s="10">
        <f t="shared" si="7"/>
        <v>0.39512195121951232</v>
      </c>
      <c r="K50" s="11">
        <v>0.18</v>
      </c>
      <c r="L50" s="12"/>
      <c r="M50" s="12"/>
      <c r="N50" s="4" t="s">
        <v>65</v>
      </c>
      <c r="O50" s="12" t="s">
        <v>17</v>
      </c>
    </row>
    <row r="51" spans="1:15" ht="12" x14ac:dyDescent="0.3">
      <c r="A51" s="6" t="str">
        <f t="shared" si="4"/>
        <v>25</v>
      </c>
      <c r="B51" s="7" t="s">
        <v>64</v>
      </c>
      <c r="C51" s="8">
        <v>2502500</v>
      </c>
      <c r="D51" s="7">
        <v>87034000</v>
      </c>
      <c r="E51" s="9">
        <v>45292</v>
      </c>
      <c r="F51" s="7"/>
      <c r="G51" s="10">
        <v>0.3</v>
      </c>
      <c r="H51" s="10">
        <f t="shared" si="5"/>
        <v>0.55999999999999983</v>
      </c>
      <c r="I51" s="10">
        <f t="shared" si="6"/>
        <v>0.51124999999999976</v>
      </c>
      <c r="J51" s="10">
        <f t="shared" si="7"/>
        <v>0.43000000000000016</v>
      </c>
      <c r="K51" s="11">
        <v>0.2</v>
      </c>
      <c r="L51" s="12"/>
      <c r="M51" s="12"/>
      <c r="N51" s="4" t="s">
        <v>65</v>
      </c>
      <c r="O51" s="12" t="s">
        <v>74</v>
      </c>
    </row>
    <row r="52" spans="1:15" ht="12" x14ac:dyDescent="0.3">
      <c r="A52" s="6" t="str">
        <f t="shared" si="4"/>
        <v>25</v>
      </c>
      <c r="B52" s="7" t="s">
        <v>66</v>
      </c>
      <c r="C52" s="8">
        <v>2502600</v>
      </c>
      <c r="D52" s="7">
        <v>87035000</v>
      </c>
      <c r="E52" s="9">
        <v>43592</v>
      </c>
      <c r="F52" s="9">
        <v>45291</v>
      </c>
      <c r="G52" s="10">
        <v>0.3</v>
      </c>
      <c r="H52" s="10">
        <f t="shared" si="5"/>
        <v>0.52195121951219492</v>
      </c>
      <c r="I52" s="10">
        <f t="shared" si="6"/>
        <v>0.47439024390243878</v>
      </c>
      <c r="J52" s="10">
        <f t="shared" si="7"/>
        <v>0.39512195121951232</v>
      </c>
      <c r="K52" s="11">
        <v>0.18</v>
      </c>
      <c r="L52" s="12"/>
      <c r="M52" s="12"/>
      <c r="N52" s="4" t="s">
        <v>67</v>
      </c>
      <c r="O52" s="12" t="s">
        <v>17</v>
      </c>
    </row>
    <row r="53" spans="1:15" ht="12" x14ac:dyDescent="0.3">
      <c r="A53" s="6" t="str">
        <f t="shared" si="4"/>
        <v>25</v>
      </c>
      <c r="B53" s="7" t="s">
        <v>66</v>
      </c>
      <c r="C53" s="8">
        <v>2502600</v>
      </c>
      <c r="D53" s="7">
        <v>87035000</v>
      </c>
      <c r="E53" s="9">
        <v>45292</v>
      </c>
      <c r="F53" s="7"/>
      <c r="G53" s="10">
        <v>0.3</v>
      </c>
      <c r="H53" s="10">
        <f t="shared" si="5"/>
        <v>0.55999999999999983</v>
      </c>
      <c r="I53" s="10">
        <f t="shared" si="6"/>
        <v>0.51124999999999976</v>
      </c>
      <c r="J53" s="10">
        <f t="shared" si="7"/>
        <v>0.43000000000000016</v>
      </c>
      <c r="K53" s="11">
        <v>0.2</v>
      </c>
      <c r="L53" s="12"/>
      <c r="M53" s="12"/>
      <c r="N53" s="4" t="s">
        <v>67</v>
      </c>
      <c r="O53" s="12" t="s">
        <v>74</v>
      </c>
    </row>
    <row r="54" spans="1:15" ht="12" x14ac:dyDescent="0.3">
      <c r="A54" s="6" t="str">
        <f t="shared" si="4"/>
        <v>25</v>
      </c>
      <c r="B54" s="7" t="s">
        <v>68</v>
      </c>
      <c r="C54" s="8">
        <v>2502700</v>
      </c>
      <c r="D54" s="7">
        <v>87036000</v>
      </c>
      <c r="E54" s="9">
        <v>43592</v>
      </c>
      <c r="F54" s="9">
        <v>45291</v>
      </c>
      <c r="G54" s="10">
        <v>0.3</v>
      </c>
      <c r="H54" s="10">
        <f t="shared" si="5"/>
        <v>0.52195121951219492</v>
      </c>
      <c r="I54" s="10">
        <f t="shared" si="6"/>
        <v>0.47439024390243878</v>
      </c>
      <c r="J54" s="10">
        <f t="shared" si="7"/>
        <v>0.39512195121951232</v>
      </c>
      <c r="K54" s="11">
        <v>0.18</v>
      </c>
      <c r="L54" s="12"/>
      <c r="M54" s="12"/>
      <c r="N54" s="4" t="s">
        <v>69</v>
      </c>
      <c r="O54" s="12" t="s">
        <v>17</v>
      </c>
    </row>
    <row r="55" spans="1:15" ht="12" x14ac:dyDescent="0.3">
      <c r="A55" s="6" t="str">
        <f t="shared" si="4"/>
        <v>25</v>
      </c>
      <c r="B55" s="7" t="s">
        <v>68</v>
      </c>
      <c r="C55" s="8">
        <v>2502700</v>
      </c>
      <c r="D55" s="7">
        <v>87036000</v>
      </c>
      <c r="E55" s="9">
        <v>45292</v>
      </c>
      <c r="F55" s="7"/>
      <c r="G55" s="10">
        <v>0.3</v>
      </c>
      <c r="H55" s="10">
        <f t="shared" si="5"/>
        <v>0.55999999999999983</v>
      </c>
      <c r="I55" s="10">
        <f t="shared" si="6"/>
        <v>0.51124999999999976</v>
      </c>
      <c r="J55" s="10">
        <f t="shared" si="7"/>
        <v>0.43000000000000016</v>
      </c>
      <c r="K55" s="11">
        <v>0.2</v>
      </c>
      <c r="L55" s="12"/>
      <c r="M55" s="12"/>
      <c r="N55" s="4" t="s">
        <v>69</v>
      </c>
      <c r="O55" s="12" t="s">
        <v>74</v>
      </c>
    </row>
    <row r="56" spans="1:15" ht="12" x14ac:dyDescent="0.3">
      <c r="A56" s="6" t="str">
        <f t="shared" si="4"/>
        <v>25</v>
      </c>
      <c r="B56" s="7" t="s">
        <v>70</v>
      </c>
      <c r="C56" s="8">
        <v>2502800</v>
      </c>
      <c r="D56" s="7">
        <v>87037000</v>
      </c>
      <c r="E56" s="9">
        <v>43592</v>
      </c>
      <c r="F56" s="9">
        <v>45291</v>
      </c>
      <c r="G56" s="10">
        <v>0.3</v>
      </c>
      <c r="H56" s="10">
        <f t="shared" si="5"/>
        <v>0.52195121951219492</v>
      </c>
      <c r="I56" s="10">
        <f t="shared" si="6"/>
        <v>0.47439024390243878</v>
      </c>
      <c r="J56" s="10">
        <f t="shared" si="7"/>
        <v>0.39512195121951232</v>
      </c>
      <c r="K56" s="11">
        <v>0.18</v>
      </c>
      <c r="L56" s="12"/>
      <c r="M56" s="12"/>
      <c r="N56" s="4" t="s">
        <v>71</v>
      </c>
      <c r="O56" s="12" t="s">
        <v>17</v>
      </c>
    </row>
    <row r="57" spans="1:15" ht="12" x14ac:dyDescent="0.3">
      <c r="A57" s="6" t="str">
        <f t="shared" si="4"/>
        <v>25</v>
      </c>
      <c r="B57" s="7" t="s">
        <v>70</v>
      </c>
      <c r="C57" s="8">
        <v>2502800</v>
      </c>
      <c r="D57" s="7">
        <v>87037000</v>
      </c>
      <c r="E57" s="9">
        <v>45292</v>
      </c>
      <c r="F57" s="7"/>
      <c r="G57" s="10">
        <v>0.3</v>
      </c>
      <c r="H57" s="10">
        <f t="shared" si="5"/>
        <v>0.55999999999999983</v>
      </c>
      <c r="I57" s="10">
        <f t="shared" si="6"/>
        <v>0.51124999999999976</v>
      </c>
      <c r="J57" s="10">
        <f t="shared" si="7"/>
        <v>0.43000000000000016</v>
      </c>
      <c r="K57" s="11">
        <v>0.2</v>
      </c>
      <c r="L57" s="12"/>
      <c r="M57" s="12"/>
      <c r="N57" s="4" t="s">
        <v>71</v>
      </c>
      <c r="O57" s="12" t="s">
        <v>74</v>
      </c>
    </row>
    <row r="58" spans="1:15" ht="12" x14ac:dyDescent="0.3">
      <c r="A58" s="6" t="str">
        <f t="shared" si="4"/>
        <v>25</v>
      </c>
      <c r="B58" s="7" t="s">
        <v>72</v>
      </c>
      <c r="C58" s="8">
        <v>2502900</v>
      </c>
      <c r="D58" s="7">
        <v>87038000</v>
      </c>
      <c r="E58" s="9">
        <v>43592</v>
      </c>
      <c r="F58" s="9">
        <v>45291</v>
      </c>
      <c r="G58" s="10">
        <v>0.3</v>
      </c>
      <c r="H58" s="10">
        <f t="shared" si="5"/>
        <v>0.52195121951219492</v>
      </c>
      <c r="I58" s="10">
        <f t="shared" si="6"/>
        <v>0.47439024390243878</v>
      </c>
      <c r="J58" s="10">
        <f t="shared" si="7"/>
        <v>0.39512195121951232</v>
      </c>
      <c r="K58" s="11">
        <v>0.18</v>
      </c>
      <c r="L58" s="12"/>
      <c r="M58" s="12"/>
      <c r="N58" s="4" t="s">
        <v>73</v>
      </c>
      <c r="O58" s="12" t="s">
        <v>17</v>
      </c>
    </row>
    <row r="59" spans="1:15" ht="12" x14ac:dyDescent="0.3">
      <c r="A59" s="6" t="str">
        <f t="shared" si="4"/>
        <v>25</v>
      </c>
      <c r="B59" s="7" t="s">
        <v>72</v>
      </c>
      <c r="C59" s="8">
        <v>2502900</v>
      </c>
      <c r="D59" s="7">
        <v>87038000</v>
      </c>
      <c r="E59" s="9">
        <v>45292</v>
      </c>
      <c r="F59" s="7"/>
      <c r="G59" s="10">
        <v>0.3</v>
      </c>
      <c r="H59" s="10">
        <f t="shared" si="5"/>
        <v>0.55999999999999983</v>
      </c>
      <c r="I59" s="10">
        <f t="shared" si="6"/>
        <v>0.51124999999999976</v>
      </c>
      <c r="J59" s="10">
        <f t="shared" si="7"/>
        <v>0.43000000000000016</v>
      </c>
      <c r="K59" s="11">
        <v>0.2</v>
      </c>
      <c r="L59" s="12"/>
      <c r="M59" s="12"/>
      <c r="N59" s="4" t="s">
        <v>73</v>
      </c>
      <c r="O59" s="12" t="s">
        <v>74</v>
      </c>
    </row>
    <row r="60" spans="1:15" s="23" customFormat="1" ht="15.5" customHeight="1" x14ac:dyDescent="0.3">
      <c r="A60" s="16" t="str">
        <f t="shared" ref="A60" si="8">LEFT(C60,2)</f>
        <v>25</v>
      </c>
      <c r="B60" s="17" t="s">
        <v>75</v>
      </c>
      <c r="C60" s="18">
        <v>2503000</v>
      </c>
      <c r="D60" s="17">
        <v>87044100</v>
      </c>
      <c r="E60" s="9">
        <v>45689</v>
      </c>
      <c r="F60" s="17"/>
      <c r="G60" s="19">
        <v>0.3</v>
      </c>
      <c r="H60" s="19">
        <f t="shared" ref="H60" si="9">((1+G60)*(1-4%)/(1-K60))-1</f>
        <v>0.55999999999999983</v>
      </c>
      <c r="I60" s="19">
        <f t="shared" ref="I60" si="10">((1+G60)*(1-7%)/(1-K60))-1</f>
        <v>0.51124999999999976</v>
      </c>
      <c r="J60" s="19">
        <f t="shared" ref="J60" si="11">((1+G60)*(1-12%)/(1-K60))-1</f>
        <v>0.43000000000000016</v>
      </c>
      <c r="K60" s="20">
        <v>0.2</v>
      </c>
      <c r="L60" s="21"/>
      <c r="M60" s="21"/>
      <c r="N60" s="22" t="s">
        <v>76</v>
      </c>
      <c r="O60" s="21" t="s">
        <v>77</v>
      </c>
    </row>
    <row r="61" spans="1:15" s="23" customFormat="1" ht="12" x14ac:dyDescent="0.3">
      <c r="A61" s="24">
        <v>25</v>
      </c>
      <c r="B61" s="17" t="s">
        <v>80</v>
      </c>
      <c r="C61" s="18" t="s">
        <v>79</v>
      </c>
      <c r="D61" s="17">
        <v>87045100</v>
      </c>
      <c r="E61" s="9">
        <v>45689</v>
      </c>
      <c r="F61" s="17"/>
      <c r="G61" s="19">
        <v>0.3</v>
      </c>
      <c r="H61" s="19">
        <f t="shared" ref="H61" si="12">((1+G61)*(1-4%)/(1-K61))-1</f>
        <v>0.55999999999999983</v>
      </c>
      <c r="I61" s="19">
        <f t="shared" ref="I61" si="13">((1+G61)*(1-7%)/(1-K61))-1</f>
        <v>0.51124999999999976</v>
      </c>
      <c r="J61" s="19">
        <f t="shared" ref="J61" si="14">((1+G61)*(1-12%)/(1-K61))-1</f>
        <v>0.43000000000000016</v>
      </c>
      <c r="K61" s="20">
        <v>0.2</v>
      </c>
      <c r="N61" s="25" t="s">
        <v>78</v>
      </c>
      <c r="O61" s="21" t="s">
        <v>77</v>
      </c>
    </row>
    <row r="62" spans="1:15" s="23" customFormat="1" ht="14.5" customHeight="1" x14ac:dyDescent="0.3">
      <c r="A62" s="24">
        <v>25</v>
      </c>
      <c r="B62" s="17" t="s">
        <v>82</v>
      </c>
      <c r="C62" s="18" t="s">
        <v>83</v>
      </c>
      <c r="D62" s="17">
        <v>87046000</v>
      </c>
      <c r="E62" s="9">
        <v>45689</v>
      </c>
      <c r="F62" s="17"/>
      <c r="G62" s="19">
        <v>0.3</v>
      </c>
      <c r="H62" s="19">
        <f t="shared" ref="H62" si="15">((1+G62)*(1-4%)/(1-K62))-1</f>
        <v>0.55999999999999983</v>
      </c>
      <c r="I62" s="19">
        <f t="shared" ref="I62" si="16">((1+G62)*(1-7%)/(1-K62))-1</f>
        <v>0.51124999999999976</v>
      </c>
      <c r="J62" s="19">
        <f t="shared" ref="J62" si="17">((1+G62)*(1-12%)/(1-K62))-1</f>
        <v>0.43000000000000016</v>
      </c>
      <c r="K62" s="20">
        <v>0.2</v>
      </c>
      <c r="N62" s="26" t="s">
        <v>81</v>
      </c>
      <c r="O62" s="21" t="s">
        <v>77</v>
      </c>
    </row>
  </sheetData>
  <sheetProtection password="F150" sheet="1" objects="1" scenarios="1"/>
  <sortState ref="A2:O59">
    <sortCondition ref="C2:C59"/>
    <sortCondition ref="D2:D59"/>
    <sortCondition ref="E2:E5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Veic_automotores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2019-07-04T14:01:29Z</dcterms:created>
  <dcterms:modified xsi:type="dcterms:W3CDTF">2025-02-27T12:34:07Z</dcterms:modified>
</cp:coreProperties>
</file>