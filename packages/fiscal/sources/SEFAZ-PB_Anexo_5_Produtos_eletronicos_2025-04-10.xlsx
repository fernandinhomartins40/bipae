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10" windowWidth="19420" windowHeight="11020"/>
  </bookViews>
  <sheets>
    <sheet name="Eletronicos" sheetId="1" r:id="rId1"/>
  </sheets>
  <calcPr calcId="145621"/>
</workbook>
</file>

<file path=xl/calcChain.xml><?xml version="1.0" encoding="utf-8"?>
<calcChain xmlns="http://schemas.openxmlformats.org/spreadsheetml/2006/main">
  <c r="J17" i="1" l="1"/>
  <c r="I17" i="1"/>
  <c r="H17" i="1"/>
  <c r="A17" i="1"/>
  <c r="J13" i="1"/>
  <c r="I13" i="1"/>
  <c r="H13" i="1"/>
  <c r="A13" i="1"/>
  <c r="J11" i="1"/>
  <c r="I11" i="1"/>
  <c r="H11" i="1"/>
  <c r="A11" i="1"/>
  <c r="J9" i="1"/>
  <c r="I9" i="1"/>
  <c r="H9" i="1"/>
  <c r="A9" i="1"/>
  <c r="J4" i="1"/>
  <c r="I4" i="1"/>
  <c r="H4" i="1"/>
  <c r="A4" i="1"/>
  <c r="J6" i="1"/>
  <c r="I6" i="1"/>
  <c r="H6" i="1"/>
  <c r="A6" i="1"/>
  <c r="A16" i="1" l="1"/>
  <c r="H16" i="1"/>
  <c r="I16" i="1"/>
  <c r="J16" i="1"/>
  <c r="A12" i="1"/>
  <c r="H12" i="1"/>
  <c r="I12" i="1"/>
  <c r="J12" i="1"/>
  <c r="A10" i="1"/>
  <c r="H10" i="1"/>
  <c r="I10" i="1"/>
  <c r="J10" i="1"/>
  <c r="A8" i="1"/>
  <c r="H8" i="1"/>
  <c r="I8" i="1"/>
  <c r="J8" i="1"/>
  <c r="A5" i="1"/>
  <c r="H5" i="1"/>
  <c r="I5" i="1"/>
  <c r="J5" i="1"/>
  <c r="A3" i="1"/>
  <c r="H3" i="1"/>
  <c r="I3" i="1"/>
  <c r="J3" i="1"/>
  <c r="A15" i="1" l="1"/>
  <c r="H15" i="1"/>
  <c r="I15" i="1"/>
  <c r="J15" i="1"/>
  <c r="J18" i="1" l="1"/>
  <c r="I18" i="1"/>
  <c r="H18" i="1"/>
  <c r="A18" i="1"/>
  <c r="J14" i="1"/>
  <c r="I14" i="1"/>
  <c r="H14" i="1"/>
  <c r="A14" i="1"/>
  <c r="J7" i="1"/>
  <c r="I7" i="1"/>
  <c r="H7" i="1"/>
  <c r="A7" i="1"/>
  <c r="J2" i="1"/>
  <c r="I2" i="1"/>
  <c r="H2" i="1"/>
  <c r="A2" i="1"/>
</calcChain>
</file>

<file path=xl/sharedStrings.xml><?xml version="1.0" encoding="utf-8"?>
<sst xmlns="http://schemas.openxmlformats.org/spreadsheetml/2006/main" count="83" uniqueCount="38">
  <si>
    <t>Tabela CEST</t>
  </si>
  <si>
    <t>ITEM</t>
  </si>
  <si>
    <t>CEST</t>
  </si>
  <si>
    <t>NCM/SH</t>
  </si>
  <si>
    <t>Vigência inicial</t>
  </si>
  <si>
    <t>Vigência final</t>
  </si>
  <si>
    <t>MVA  Original</t>
  </si>
  <si>
    <t>MVA Aliq 4%</t>
  </si>
  <si>
    <t>MVA Aliq 7%</t>
  </si>
  <si>
    <t>MVA Aliq 12%</t>
  </si>
  <si>
    <t>Aliq Interna</t>
  </si>
  <si>
    <t>Funcep</t>
  </si>
  <si>
    <t>Pauta Fiscal</t>
  </si>
  <si>
    <t>DESCRIÇÃO</t>
  </si>
  <si>
    <t>Legislação</t>
  </si>
  <si>
    <t>53.0</t>
  </si>
  <si>
    <t>21.053.00</t>
  </si>
  <si>
    <t>Telefones para redes celulares, exceto por satélite, os de uso automotivo e os classificados no CEST 21.053.01</t>
  </si>
  <si>
    <t>53.1</t>
  </si>
  <si>
    <t>21.053.01</t>
  </si>
  <si>
    <t>Telefones para redes celulares portáteis, exceto por satélite</t>
  </si>
  <si>
    <t>63.0</t>
  </si>
  <si>
    <t>21.063.00</t>
  </si>
  <si>
    <t>Cartões inteligentes ("smartcards")</t>
  </si>
  <si>
    <t>64.0</t>
  </si>
  <si>
    <t>21.064.00</t>
  </si>
  <si>
    <t>Cartões inteligentes ("sim cards")</t>
  </si>
  <si>
    <t>Cartões inteligentes ("smartcards"), exceto o item classificado no CEST 21.064.00</t>
  </si>
  <si>
    <t>DECRETO ICMS/PB Nº 39.158// Decreto 39.422/19</t>
  </si>
  <si>
    <t>Telefones inteligentes("smartphones") e para redes celulares, excetos por satélite, os de uso automotivo e os classificados no CEST 21.053.01</t>
  </si>
  <si>
    <t>Telefones inteligentes ("smartphones")e para redes celulares, excetos por satélite, os de uso automotivo e os classificados no CEST 21.053.01</t>
  </si>
  <si>
    <t>DECRETO ICMS/PB Nº 39.158// Decreto 43.079/2022</t>
  </si>
  <si>
    <t>DECRETO 43.079/2022</t>
  </si>
  <si>
    <t>DECRETO  43.079/2022</t>
  </si>
  <si>
    <t>Telefones inteligentes ("samartphones") e para redes celulares portáteis, excetos por satélite</t>
  </si>
  <si>
    <t>Telefones inteligentes(" smartphones") e para redes celulares portáteis, excetos por satélite</t>
  </si>
  <si>
    <t>Decreto 39.422/19// 43.079/2022</t>
  </si>
  <si>
    <t>DECRETO ICMS/PB Nº 44.681/23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</si>
</sst>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indexed="64"/>
      </right>
      <top/>
      <bottom/>
      <diagonal/>
    </border>
    <border>
      <left/>
      <right style="hair">
        <color auto="1"/>
      </right>
      <top style="hair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9" fontId="2" fillId="0" borderId="0" xfId="0" applyNumberFormat="1" applyFont="1"/>
    <xf numFmtId="0" fontId="1" fillId="0" borderId="3" xfId="0" applyFont="1" applyBorder="1" applyAlignment="1">
      <alignment horizontal="center" vertical="center" wrapText="1"/>
    </xf>
    <xf numFmtId="9" fontId="1" fillId="0" borderId="3" xfId="0" applyNumberFormat="1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9" fontId="1" fillId="0" borderId="6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justify" vertical="center" wrapText="1"/>
    </xf>
    <xf numFmtId="14" fontId="2" fillId="3" borderId="1" xfId="0" applyNumberFormat="1" applyFont="1" applyFill="1" applyBorder="1" applyAlignment="1">
      <alignment horizontal="justify" vertical="center" wrapText="1"/>
    </xf>
    <xf numFmtId="10" fontId="2" fillId="3" borderId="1" xfId="0" applyNumberFormat="1" applyFont="1" applyFill="1" applyBorder="1"/>
    <xf numFmtId="10" fontId="2" fillId="3" borderId="4" xfId="0" applyNumberFormat="1" applyFont="1" applyFill="1" applyBorder="1"/>
    <xf numFmtId="9" fontId="2" fillId="3" borderId="4" xfId="0" applyNumberFormat="1" applyFont="1" applyFill="1" applyBorder="1"/>
    <xf numFmtId="0" fontId="2" fillId="3" borderId="4" xfId="0" applyFont="1" applyFill="1" applyBorder="1"/>
    <xf numFmtId="0" fontId="2" fillId="3" borderId="4" xfId="0" applyFont="1" applyFill="1" applyBorder="1" applyAlignment="1">
      <alignment horizontal="justify" vertical="center" wrapText="1"/>
    </xf>
    <xf numFmtId="0" fontId="2" fillId="3" borderId="2" xfId="0" applyFont="1" applyFill="1" applyBorder="1"/>
    <xf numFmtId="0" fontId="2" fillId="3" borderId="0" xfId="0" applyFont="1" applyFill="1"/>
    <xf numFmtId="9" fontId="2" fillId="3" borderId="1" xfId="0" applyNumberFormat="1" applyFont="1" applyFill="1" applyBorder="1"/>
    <xf numFmtId="0" fontId="2" fillId="3" borderId="1" xfId="0" applyFont="1" applyFill="1" applyBorder="1"/>
    <xf numFmtId="10" fontId="2" fillId="3" borderId="5" xfId="0" applyNumberFormat="1" applyFont="1" applyFill="1" applyBorder="1"/>
    <xf numFmtId="9" fontId="2" fillId="3" borderId="5" xfId="0" applyNumberFormat="1" applyFont="1" applyFill="1" applyBorder="1"/>
    <xf numFmtId="0" fontId="2" fillId="3" borderId="5" xfId="0" applyFont="1" applyFill="1" applyBorder="1"/>
    <xf numFmtId="0" fontId="2" fillId="3" borderId="5" xfId="0" applyFont="1" applyFill="1" applyBorder="1" applyAlignment="1">
      <alignment horizontal="justify" vertical="center" wrapText="1"/>
    </xf>
    <xf numFmtId="0" fontId="2" fillId="3" borderId="5" xfId="0" applyFont="1" applyFill="1" applyBorder="1" applyAlignment="1">
      <alignment horizontal="justify" vertical="center"/>
    </xf>
    <xf numFmtId="0" fontId="2" fillId="3" borderId="1" xfId="0" applyFont="1" applyFill="1" applyBorder="1" applyAlignment="1">
      <alignment horizontal="justify" vertical="center"/>
    </xf>
    <xf numFmtId="0" fontId="2" fillId="3" borderId="4" xfId="0" applyFont="1" applyFill="1" applyBorder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tabSelected="1" zoomScale="90" zoomScaleNormal="90" workbookViewId="0">
      <pane ySplit="1" topLeftCell="A2" activePane="bottomLeft" state="frozen"/>
      <selection pane="bottomLeft" activeCell="B20" sqref="B20"/>
    </sheetView>
  </sheetViews>
  <sheetFormatPr defaultColWidth="9.1796875" defaultRowHeight="12" x14ac:dyDescent="0.3"/>
  <cols>
    <col min="1" max="1" width="5.7265625" style="3" bestFit="1" customWidth="1"/>
    <col min="2" max="2" width="4.81640625" style="3" bestFit="1" customWidth="1"/>
    <col min="3" max="3" width="7.81640625" style="3" bestFit="1" customWidth="1"/>
    <col min="4" max="4" width="8.7265625" style="3" bestFit="1" customWidth="1"/>
    <col min="5" max="5" width="9.26953125" style="3" bestFit="1" customWidth="1"/>
    <col min="6" max="6" width="8.90625" style="3" customWidth="1"/>
    <col min="7" max="7" width="6.54296875" style="3" bestFit="1" customWidth="1"/>
    <col min="8" max="10" width="7.54296875" style="3" bestFit="1" customWidth="1"/>
    <col min="11" max="11" width="6" style="4" bestFit="1" customWidth="1"/>
    <col min="12" max="12" width="6" style="4" customWidth="1"/>
    <col min="13" max="13" width="5" style="3" bestFit="1" customWidth="1"/>
    <col min="14" max="14" width="80.81640625" style="3" customWidth="1"/>
    <col min="15" max="15" width="40" style="3" bestFit="1" customWidth="1"/>
    <col min="16" max="16384" width="9.1796875" style="3"/>
  </cols>
  <sheetData>
    <row r="1" spans="1:15" ht="2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6" t="s">
        <v>10</v>
      </c>
      <c r="L1" s="8" t="s">
        <v>11</v>
      </c>
      <c r="M1" s="5" t="s">
        <v>12</v>
      </c>
      <c r="N1" s="7" t="s">
        <v>13</v>
      </c>
      <c r="O1" s="1" t="s">
        <v>14</v>
      </c>
    </row>
    <row r="2" spans="1:15" s="18" customFormat="1" x14ac:dyDescent="0.3">
      <c r="A2" s="9" t="str">
        <f t="shared" ref="A2:A18" si="0">LEFT(C2,2)</f>
        <v>21</v>
      </c>
      <c r="B2" s="10" t="s">
        <v>15</v>
      </c>
      <c r="C2" s="10" t="s">
        <v>16</v>
      </c>
      <c r="D2" s="10">
        <v>8517123</v>
      </c>
      <c r="E2" s="11">
        <v>43592</v>
      </c>
      <c r="F2" s="11">
        <v>44682</v>
      </c>
      <c r="G2" s="12">
        <v>0.09</v>
      </c>
      <c r="H2" s="12">
        <f t="shared" ref="H2:H18" si="1">((1+G2)*(1-4%)/(1-K2))-1</f>
        <v>0.27609756097560956</v>
      </c>
      <c r="I2" s="12">
        <f t="shared" ref="I2:I18" si="2">((1+G2)*(1-7%)/(1-K2))-1</f>
        <v>0.23621951219512183</v>
      </c>
      <c r="J2" s="13">
        <f t="shared" ref="J2:J18" si="3">((1+G2)*(1-12%)/(1-K2))-1</f>
        <v>0.16975609756097554</v>
      </c>
      <c r="K2" s="14">
        <v>0.18</v>
      </c>
      <c r="L2" s="14"/>
      <c r="M2" s="15"/>
      <c r="N2" s="16" t="s">
        <v>17</v>
      </c>
      <c r="O2" s="17" t="s">
        <v>31</v>
      </c>
    </row>
    <row r="3" spans="1:15" s="18" customFormat="1" ht="24" x14ac:dyDescent="0.3">
      <c r="A3" s="9" t="str">
        <f t="shared" si="0"/>
        <v>21</v>
      </c>
      <c r="B3" s="10" t="s">
        <v>15</v>
      </c>
      <c r="C3" s="10" t="s">
        <v>16</v>
      </c>
      <c r="D3" s="10">
        <v>8517143</v>
      </c>
      <c r="E3" s="11">
        <v>44683</v>
      </c>
      <c r="F3" s="11">
        <v>45291</v>
      </c>
      <c r="G3" s="12">
        <v>0.09</v>
      </c>
      <c r="H3" s="12">
        <f t="shared" si="1"/>
        <v>0.27609756097560956</v>
      </c>
      <c r="I3" s="12">
        <f t="shared" si="2"/>
        <v>0.23621951219512183</v>
      </c>
      <c r="J3" s="12">
        <f t="shared" si="3"/>
        <v>0.16975609756097554</v>
      </c>
      <c r="K3" s="19">
        <v>0.18</v>
      </c>
      <c r="L3" s="19"/>
      <c r="M3" s="20"/>
      <c r="N3" s="10" t="s">
        <v>30</v>
      </c>
      <c r="O3" s="17" t="s">
        <v>33</v>
      </c>
    </row>
    <row r="4" spans="1:15" s="18" customFormat="1" ht="24" x14ac:dyDescent="0.3">
      <c r="A4" s="9" t="str">
        <f t="shared" si="0"/>
        <v>21</v>
      </c>
      <c r="B4" s="10" t="s">
        <v>15</v>
      </c>
      <c r="C4" s="10" t="s">
        <v>16</v>
      </c>
      <c r="D4" s="10">
        <v>8517143</v>
      </c>
      <c r="E4" s="11">
        <v>45292</v>
      </c>
      <c r="F4" s="10"/>
      <c r="G4" s="12">
        <v>0.09</v>
      </c>
      <c r="H4" s="12">
        <f t="shared" si="1"/>
        <v>0.30799999999999983</v>
      </c>
      <c r="I4" s="13">
        <f t="shared" si="2"/>
        <v>0.26712500000000006</v>
      </c>
      <c r="J4" s="21">
        <f t="shared" si="3"/>
        <v>0.19900000000000007</v>
      </c>
      <c r="K4" s="22">
        <v>0.2</v>
      </c>
      <c r="L4" s="22"/>
      <c r="M4" s="23"/>
      <c r="N4" s="25" t="s">
        <v>30</v>
      </c>
      <c r="O4" s="17" t="s">
        <v>37</v>
      </c>
    </row>
    <row r="5" spans="1:15" s="18" customFormat="1" ht="24" x14ac:dyDescent="0.3">
      <c r="A5" s="9" t="str">
        <f t="shared" si="0"/>
        <v>21</v>
      </c>
      <c r="B5" s="10" t="s">
        <v>15</v>
      </c>
      <c r="C5" s="10" t="s">
        <v>16</v>
      </c>
      <c r="D5" s="10">
        <v>85171300</v>
      </c>
      <c r="E5" s="11">
        <v>44683</v>
      </c>
      <c r="F5" s="11">
        <v>45291</v>
      </c>
      <c r="G5" s="12">
        <v>0.09</v>
      </c>
      <c r="H5" s="12">
        <f t="shared" si="1"/>
        <v>0.27609756097560956</v>
      </c>
      <c r="I5" s="12">
        <f t="shared" si="2"/>
        <v>0.23621951219512183</v>
      </c>
      <c r="J5" s="12">
        <f t="shared" si="3"/>
        <v>0.16975609756097554</v>
      </c>
      <c r="K5" s="19">
        <v>0.18</v>
      </c>
      <c r="L5" s="19"/>
      <c r="M5" s="20"/>
      <c r="N5" s="10" t="s">
        <v>29</v>
      </c>
      <c r="O5" s="20" t="s">
        <v>32</v>
      </c>
    </row>
    <row r="6" spans="1:15" s="18" customFormat="1" ht="24" x14ac:dyDescent="0.3">
      <c r="A6" s="9" t="str">
        <f t="shared" si="0"/>
        <v>21</v>
      </c>
      <c r="B6" s="10" t="s">
        <v>15</v>
      </c>
      <c r="C6" s="10" t="s">
        <v>16</v>
      </c>
      <c r="D6" s="10">
        <v>85171300</v>
      </c>
      <c r="E6" s="11">
        <v>45292</v>
      </c>
      <c r="F6" s="10"/>
      <c r="G6" s="12">
        <v>0.09</v>
      </c>
      <c r="H6" s="12">
        <f t="shared" si="1"/>
        <v>0.30799999999999983</v>
      </c>
      <c r="I6" s="12">
        <f t="shared" si="2"/>
        <v>0.26712500000000006</v>
      </c>
      <c r="J6" s="12">
        <f t="shared" si="3"/>
        <v>0.19900000000000007</v>
      </c>
      <c r="K6" s="19">
        <v>0.2</v>
      </c>
      <c r="L6" s="19"/>
      <c r="M6" s="20"/>
      <c r="N6" s="26" t="s">
        <v>29</v>
      </c>
      <c r="O6" s="20" t="s">
        <v>37</v>
      </c>
    </row>
    <row r="7" spans="1:15" s="18" customFormat="1" x14ac:dyDescent="0.3">
      <c r="A7" s="9" t="str">
        <f t="shared" si="0"/>
        <v>21</v>
      </c>
      <c r="B7" s="10" t="s">
        <v>18</v>
      </c>
      <c r="C7" s="10" t="s">
        <v>19</v>
      </c>
      <c r="D7" s="10">
        <v>85171231</v>
      </c>
      <c r="E7" s="11">
        <v>43592</v>
      </c>
      <c r="F7" s="11">
        <v>44682</v>
      </c>
      <c r="G7" s="12">
        <v>0.09</v>
      </c>
      <c r="H7" s="12">
        <f t="shared" si="1"/>
        <v>0.27609756097560956</v>
      </c>
      <c r="I7" s="12">
        <f t="shared" si="2"/>
        <v>0.23621951219512183</v>
      </c>
      <c r="J7" s="12">
        <f t="shared" si="3"/>
        <v>0.16975609756097554</v>
      </c>
      <c r="K7" s="19">
        <v>0.18</v>
      </c>
      <c r="L7" s="19"/>
      <c r="M7" s="20"/>
      <c r="N7" s="10" t="s">
        <v>20</v>
      </c>
      <c r="O7" s="20" t="s">
        <v>31</v>
      </c>
    </row>
    <row r="8" spans="1:15" s="18" customFormat="1" x14ac:dyDescent="0.3">
      <c r="A8" s="9" t="str">
        <f t="shared" si="0"/>
        <v>21</v>
      </c>
      <c r="B8" s="10" t="s">
        <v>18</v>
      </c>
      <c r="C8" s="10" t="s">
        <v>19</v>
      </c>
      <c r="D8" s="10">
        <v>85171300</v>
      </c>
      <c r="E8" s="11">
        <v>44683</v>
      </c>
      <c r="F8" s="11">
        <v>45291</v>
      </c>
      <c r="G8" s="12">
        <v>0.09</v>
      </c>
      <c r="H8" s="12">
        <f t="shared" si="1"/>
        <v>0.27609756097560956</v>
      </c>
      <c r="I8" s="13">
        <f t="shared" si="2"/>
        <v>0.23621951219512183</v>
      </c>
      <c r="J8" s="13">
        <f t="shared" si="3"/>
        <v>0.16975609756097554</v>
      </c>
      <c r="K8" s="14">
        <v>0.18</v>
      </c>
      <c r="L8" s="14"/>
      <c r="M8" s="15"/>
      <c r="N8" s="16" t="s">
        <v>34</v>
      </c>
      <c r="O8" s="20" t="s">
        <v>32</v>
      </c>
    </row>
    <row r="9" spans="1:15" s="18" customFormat="1" x14ac:dyDescent="0.3">
      <c r="A9" s="9" t="str">
        <f t="shared" si="0"/>
        <v>21</v>
      </c>
      <c r="B9" s="10" t="s">
        <v>18</v>
      </c>
      <c r="C9" s="10" t="s">
        <v>19</v>
      </c>
      <c r="D9" s="10">
        <v>85171300</v>
      </c>
      <c r="E9" s="11">
        <v>45292</v>
      </c>
      <c r="F9" s="10"/>
      <c r="G9" s="12">
        <v>0.09</v>
      </c>
      <c r="H9" s="12">
        <f t="shared" si="1"/>
        <v>0.30799999999999983</v>
      </c>
      <c r="I9" s="12">
        <f t="shared" si="2"/>
        <v>0.26712500000000006</v>
      </c>
      <c r="J9" s="13">
        <f t="shared" si="3"/>
        <v>0.19900000000000007</v>
      </c>
      <c r="K9" s="14">
        <v>0.2</v>
      </c>
      <c r="L9" s="14"/>
      <c r="M9" s="15"/>
      <c r="N9" s="27" t="s">
        <v>34</v>
      </c>
      <c r="O9" s="17" t="s">
        <v>37</v>
      </c>
    </row>
    <row r="10" spans="1:15" s="18" customFormat="1" x14ac:dyDescent="0.3">
      <c r="A10" s="9" t="str">
        <f t="shared" si="0"/>
        <v>21</v>
      </c>
      <c r="B10" s="10" t="s">
        <v>18</v>
      </c>
      <c r="C10" s="10" t="s">
        <v>19</v>
      </c>
      <c r="D10" s="10">
        <v>85171431</v>
      </c>
      <c r="E10" s="11">
        <v>44683</v>
      </c>
      <c r="F10" s="11">
        <v>45291</v>
      </c>
      <c r="G10" s="12">
        <v>0.09</v>
      </c>
      <c r="H10" s="12">
        <f t="shared" si="1"/>
        <v>0.27609756097560956</v>
      </c>
      <c r="I10" s="12">
        <f t="shared" si="2"/>
        <v>0.23621951219512183</v>
      </c>
      <c r="J10" s="13">
        <f t="shared" si="3"/>
        <v>0.16975609756097554</v>
      </c>
      <c r="K10" s="14">
        <v>0.18</v>
      </c>
      <c r="L10" s="14"/>
      <c r="M10" s="15"/>
      <c r="N10" s="16" t="s">
        <v>35</v>
      </c>
      <c r="O10" s="17" t="s">
        <v>32</v>
      </c>
    </row>
    <row r="11" spans="1:15" s="18" customFormat="1" x14ac:dyDescent="0.3">
      <c r="A11" s="9" t="str">
        <f t="shared" si="0"/>
        <v>21</v>
      </c>
      <c r="B11" s="10" t="s">
        <v>18</v>
      </c>
      <c r="C11" s="10" t="s">
        <v>19</v>
      </c>
      <c r="D11" s="10">
        <v>85171431</v>
      </c>
      <c r="E11" s="11">
        <v>45292</v>
      </c>
      <c r="F11" s="10"/>
      <c r="G11" s="12">
        <v>0.09</v>
      </c>
      <c r="H11" s="12">
        <f t="shared" si="1"/>
        <v>0.30799999999999983</v>
      </c>
      <c r="I11" s="12">
        <f t="shared" si="2"/>
        <v>0.26712500000000006</v>
      </c>
      <c r="J11" s="13">
        <f t="shared" si="3"/>
        <v>0.19900000000000007</v>
      </c>
      <c r="K11" s="19">
        <v>0.2</v>
      </c>
      <c r="L11" s="14"/>
      <c r="M11" s="15"/>
      <c r="N11" s="27" t="s">
        <v>35</v>
      </c>
      <c r="O11" s="17" t="s">
        <v>37</v>
      </c>
    </row>
    <row r="12" spans="1:15" s="18" customFormat="1" x14ac:dyDescent="0.3">
      <c r="A12" s="9" t="str">
        <f t="shared" si="0"/>
        <v>21</v>
      </c>
      <c r="B12" s="10" t="s">
        <v>21</v>
      </c>
      <c r="C12" s="10" t="s">
        <v>22</v>
      </c>
      <c r="D12" s="10">
        <v>852352</v>
      </c>
      <c r="E12" s="11">
        <v>44683</v>
      </c>
      <c r="F12" s="11">
        <v>45291</v>
      </c>
      <c r="G12" s="12">
        <v>0.09</v>
      </c>
      <c r="H12" s="12">
        <f t="shared" si="1"/>
        <v>0.27609756097560956</v>
      </c>
      <c r="I12" s="12">
        <f t="shared" si="2"/>
        <v>0.23621951219512183</v>
      </c>
      <c r="J12" s="13">
        <f t="shared" si="3"/>
        <v>0.16975609756097554</v>
      </c>
      <c r="K12" s="19">
        <v>0.18</v>
      </c>
      <c r="L12" s="14"/>
      <c r="M12" s="15"/>
      <c r="N12" s="16" t="s">
        <v>27</v>
      </c>
      <c r="O12" s="17" t="s">
        <v>32</v>
      </c>
    </row>
    <row r="13" spans="1:15" x14ac:dyDescent="0.3">
      <c r="A13" s="9" t="str">
        <f t="shared" si="0"/>
        <v>21</v>
      </c>
      <c r="B13" s="10" t="s">
        <v>21</v>
      </c>
      <c r="C13" s="10" t="s">
        <v>22</v>
      </c>
      <c r="D13" s="10">
        <v>852352</v>
      </c>
      <c r="E13" s="11">
        <v>45292</v>
      </c>
      <c r="F13" s="10"/>
      <c r="G13" s="12">
        <v>0.09</v>
      </c>
      <c r="H13" s="12">
        <f t="shared" si="1"/>
        <v>0.30799999999999983</v>
      </c>
      <c r="I13" s="12">
        <f t="shared" si="2"/>
        <v>0.26712500000000006</v>
      </c>
      <c r="J13" s="12">
        <f t="shared" si="3"/>
        <v>0.19900000000000007</v>
      </c>
      <c r="K13" s="19">
        <v>0.2</v>
      </c>
      <c r="L13" s="19"/>
      <c r="M13" s="20"/>
      <c r="N13" s="26" t="s">
        <v>27</v>
      </c>
      <c r="O13" s="17" t="s">
        <v>37</v>
      </c>
    </row>
    <row r="14" spans="1:15" x14ac:dyDescent="0.3">
      <c r="A14" s="9" t="str">
        <f t="shared" si="0"/>
        <v>21</v>
      </c>
      <c r="B14" s="10" t="s">
        <v>21</v>
      </c>
      <c r="C14" s="10" t="s">
        <v>22</v>
      </c>
      <c r="D14" s="10">
        <v>85235200</v>
      </c>
      <c r="E14" s="11">
        <v>43592</v>
      </c>
      <c r="F14" s="11">
        <v>43646</v>
      </c>
      <c r="G14" s="12">
        <v>0.09</v>
      </c>
      <c r="H14" s="12">
        <f t="shared" si="1"/>
        <v>0.27609756097560956</v>
      </c>
      <c r="I14" s="13">
        <f t="shared" si="2"/>
        <v>0.23621951219512183</v>
      </c>
      <c r="J14" s="21">
        <f t="shared" si="3"/>
        <v>0.16975609756097554</v>
      </c>
      <c r="K14" s="19">
        <v>0.18</v>
      </c>
      <c r="L14" s="22"/>
      <c r="M14" s="23"/>
      <c r="N14" s="24" t="s">
        <v>23</v>
      </c>
      <c r="O14" s="17" t="s">
        <v>28</v>
      </c>
    </row>
    <row r="15" spans="1:15" x14ac:dyDescent="0.3">
      <c r="A15" s="9" t="str">
        <f t="shared" si="0"/>
        <v>21</v>
      </c>
      <c r="B15" s="10" t="s">
        <v>21</v>
      </c>
      <c r="C15" s="10" t="s">
        <v>22</v>
      </c>
      <c r="D15" s="10">
        <v>85235200</v>
      </c>
      <c r="E15" s="11">
        <v>43647</v>
      </c>
      <c r="F15" s="11">
        <v>44682</v>
      </c>
      <c r="G15" s="12">
        <v>0.09</v>
      </c>
      <c r="H15" s="12">
        <f t="shared" si="1"/>
        <v>0.27609756097560956</v>
      </c>
      <c r="I15" s="12">
        <f t="shared" si="2"/>
        <v>0.23621951219512183</v>
      </c>
      <c r="J15" s="12">
        <f t="shared" si="3"/>
        <v>0.16975609756097554</v>
      </c>
      <c r="K15" s="19">
        <v>0.18</v>
      </c>
      <c r="L15" s="19"/>
      <c r="M15" s="20"/>
      <c r="N15" s="10" t="s">
        <v>27</v>
      </c>
      <c r="O15" s="17" t="s">
        <v>36</v>
      </c>
    </row>
    <row r="16" spans="1:15" x14ac:dyDescent="0.3">
      <c r="A16" s="9" t="str">
        <f t="shared" si="0"/>
        <v>21</v>
      </c>
      <c r="B16" s="10" t="s">
        <v>24</v>
      </c>
      <c r="C16" s="10" t="s">
        <v>25</v>
      </c>
      <c r="D16" s="10">
        <v>852352</v>
      </c>
      <c r="E16" s="11">
        <v>44683</v>
      </c>
      <c r="F16" s="11">
        <v>45291</v>
      </c>
      <c r="G16" s="12">
        <v>0.09</v>
      </c>
      <c r="H16" s="12">
        <f t="shared" si="1"/>
        <v>0.27609756097560956</v>
      </c>
      <c r="I16" s="12">
        <f t="shared" si="2"/>
        <v>0.23621951219512183</v>
      </c>
      <c r="J16" s="12">
        <f t="shared" si="3"/>
        <v>0.16975609756097554</v>
      </c>
      <c r="K16" s="19">
        <v>0.18</v>
      </c>
      <c r="L16" s="19"/>
      <c r="M16" s="20"/>
      <c r="N16" s="10" t="s">
        <v>26</v>
      </c>
      <c r="O16" s="17" t="s">
        <v>32</v>
      </c>
    </row>
    <row r="17" spans="1:15" x14ac:dyDescent="0.3">
      <c r="A17" s="9" t="str">
        <f t="shared" si="0"/>
        <v>21</v>
      </c>
      <c r="B17" s="10" t="s">
        <v>24</v>
      </c>
      <c r="C17" s="10" t="s">
        <v>25</v>
      </c>
      <c r="D17" s="10">
        <v>852352</v>
      </c>
      <c r="E17" s="11">
        <v>45292</v>
      </c>
      <c r="F17" s="10"/>
      <c r="G17" s="12">
        <v>0.09</v>
      </c>
      <c r="H17" s="12">
        <f t="shared" si="1"/>
        <v>0.30799999999999983</v>
      </c>
      <c r="I17" s="12">
        <f t="shared" si="2"/>
        <v>0.26712500000000006</v>
      </c>
      <c r="J17" s="13">
        <f t="shared" si="3"/>
        <v>0.19900000000000007</v>
      </c>
      <c r="K17" s="19">
        <v>0.2</v>
      </c>
      <c r="L17" s="14"/>
      <c r="M17" s="15"/>
      <c r="N17" s="27" t="s">
        <v>26</v>
      </c>
      <c r="O17" s="17" t="s">
        <v>37</v>
      </c>
    </row>
    <row r="18" spans="1:15" x14ac:dyDescent="0.3">
      <c r="A18" s="9" t="str">
        <f t="shared" si="0"/>
        <v>21</v>
      </c>
      <c r="B18" s="10" t="s">
        <v>24</v>
      </c>
      <c r="C18" s="10" t="s">
        <v>25</v>
      </c>
      <c r="D18" s="10">
        <v>85235200</v>
      </c>
      <c r="E18" s="11">
        <v>43592</v>
      </c>
      <c r="F18" s="11">
        <v>44682</v>
      </c>
      <c r="G18" s="12">
        <v>0.09</v>
      </c>
      <c r="H18" s="12">
        <f t="shared" si="1"/>
        <v>0.27609756097560956</v>
      </c>
      <c r="I18" s="12">
        <f t="shared" si="2"/>
        <v>0.23621951219512183</v>
      </c>
      <c r="J18" s="13">
        <f t="shared" si="3"/>
        <v>0.16975609756097554</v>
      </c>
      <c r="K18" s="19">
        <v>0.18</v>
      </c>
      <c r="L18" s="14"/>
      <c r="M18" s="15"/>
      <c r="N18" s="16" t="s">
        <v>26</v>
      </c>
      <c r="O18" s="17" t="s">
        <v>31</v>
      </c>
    </row>
  </sheetData>
  <sheetProtection password="F150" sheet="1" objects="1" scenarios="1"/>
  <sortState ref="A2:O18">
    <sortCondition ref="C2:C18"/>
    <sortCondition ref="D2:D18"/>
    <sortCondition ref="E2:E18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Eletronicos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Antonio de Arruda</dc:creator>
  <cp:lastModifiedBy>Joselinda Goncalves Machado</cp:lastModifiedBy>
  <dcterms:created xsi:type="dcterms:W3CDTF">2019-07-04T13:58:23Z</dcterms:created>
  <dcterms:modified xsi:type="dcterms:W3CDTF">2025-02-27T12:22:36Z</dcterms:modified>
</cp:coreProperties>
</file>