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AutoPecas" sheetId="1" r:id="rId1"/>
  </sheets>
  <calcPr calcId="145621"/>
</workbook>
</file>

<file path=xl/calcChain.xml><?xml version="1.0" encoding="utf-8"?>
<calcChain xmlns="http://schemas.openxmlformats.org/spreadsheetml/2006/main">
  <c r="N325" i="1" l="1"/>
  <c r="M325" i="1"/>
  <c r="L325" i="1"/>
  <c r="J325" i="1"/>
  <c r="I325" i="1"/>
  <c r="H325" i="1"/>
  <c r="A325" i="1"/>
  <c r="N323" i="1"/>
  <c r="M323" i="1"/>
  <c r="L323" i="1"/>
  <c r="J323" i="1"/>
  <c r="I323" i="1"/>
  <c r="H323" i="1"/>
  <c r="A323" i="1"/>
  <c r="N321" i="1"/>
  <c r="M321" i="1"/>
  <c r="L321" i="1"/>
  <c r="J321" i="1"/>
  <c r="I321" i="1"/>
  <c r="H321" i="1"/>
  <c r="A321" i="1"/>
  <c r="N319" i="1"/>
  <c r="M319" i="1"/>
  <c r="L319" i="1"/>
  <c r="J319" i="1"/>
  <c r="I319" i="1"/>
  <c r="H319" i="1"/>
  <c r="A319" i="1"/>
  <c r="N317" i="1"/>
  <c r="M317" i="1"/>
  <c r="L317" i="1"/>
  <c r="J317" i="1"/>
  <c r="I317" i="1"/>
  <c r="H317" i="1"/>
  <c r="A317" i="1"/>
  <c r="N315" i="1"/>
  <c r="M315" i="1"/>
  <c r="L315" i="1"/>
  <c r="J315" i="1"/>
  <c r="I315" i="1"/>
  <c r="H315" i="1"/>
  <c r="A315" i="1"/>
  <c r="N313" i="1"/>
  <c r="M313" i="1"/>
  <c r="L313" i="1"/>
  <c r="J313" i="1"/>
  <c r="I313" i="1"/>
  <c r="H313" i="1"/>
  <c r="A313" i="1"/>
  <c r="N311" i="1"/>
  <c r="M311" i="1"/>
  <c r="L311" i="1"/>
  <c r="J311" i="1"/>
  <c r="I311" i="1"/>
  <c r="H311" i="1"/>
  <c r="A311" i="1"/>
  <c r="N309" i="1"/>
  <c r="M309" i="1"/>
  <c r="L309" i="1"/>
  <c r="J309" i="1"/>
  <c r="I309" i="1"/>
  <c r="H309" i="1"/>
  <c r="A309" i="1"/>
  <c r="N307" i="1"/>
  <c r="M307" i="1"/>
  <c r="L307" i="1"/>
  <c r="J307" i="1"/>
  <c r="I307" i="1"/>
  <c r="H307" i="1"/>
  <c r="A307" i="1"/>
  <c r="N305" i="1"/>
  <c r="M305" i="1"/>
  <c r="L305" i="1"/>
  <c r="J305" i="1"/>
  <c r="I305" i="1"/>
  <c r="H305" i="1"/>
  <c r="A305" i="1"/>
  <c r="N303" i="1"/>
  <c r="M303" i="1"/>
  <c r="L303" i="1"/>
  <c r="J303" i="1"/>
  <c r="I303" i="1"/>
  <c r="H303" i="1"/>
  <c r="A303" i="1"/>
  <c r="N301" i="1"/>
  <c r="M301" i="1"/>
  <c r="L301" i="1"/>
  <c r="J301" i="1"/>
  <c r="I301" i="1"/>
  <c r="H301" i="1"/>
  <c r="A301" i="1"/>
  <c r="N299" i="1"/>
  <c r="M299" i="1"/>
  <c r="L299" i="1"/>
  <c r="J299" i="1"/>
  <c r="I299" i="1"/>
  <c r="H299" i="1"/>
  <c r="A299" i="1"/>
  <c r="N297" i="1"/>
  <c r="M297" i="1"/>
  <c r="L297" i="1"/>
  <c r="J297" i="1"/>
  <c r="I297" i="1"/>
  <c r="H297" i="1"/>
  <c r="A297" i="1"/>
  <c r="N295" i="1"/>
  <c r="M295" i="1"/>
  <c r="L295" i="1"/>
  <c r="J295" i="1"/>
  <c r="I295" i="1"/>
  <c r="H295" i="1"/>
  <c r="A295" i="1"/>
  <c r="N293" i="1"/>
  <c r="M293" i="1"/>
  <c r="L293" i="1"/>
  <c r="J293" i="1"/>
  <c r="I293" i="1"/>
  <c r="H293" i="1"/>
  <c r="A293" i="1"/>
  <c r="N291" i="1"/>
  <c r="M291" i="1"/>
  <c r="L291" i="1"/>
  <c r="J291" i="1"/>
  <c r="I291" i="1"/>
  <c r="H291" i="1"/>
  <c r="A291" i="1"/>
  <c r="N289" i="1"/>
  <c r="M289" i="1"/>
  <c r="L289" i="1"/>
  <c r="J289" i="1"/>
  <c r="I289" i="1"/>
  <c r="H289" i="1"/>
  <c r="A289" i="1"/>
  <c r="N287" i="1"/>
  <c r="M287" i="1"/>
  <c r="L287" i="1"/>
  <c r="J287" i="1"/>
  <c r="I287" i="1"/>
  <c r="H287" i="1"/>
  <c r="A287" i="1"/>
  <c r="N285" i="1"/>
  <c r="M285" i="1"/>
  <c r="L285" i="1"/>
  <c r="J285" i="1"/>
  <c r="I285" i="1"/>
  <c r="H285" i="1"/>
  <c r="A285" i="1"/>
  <c r="N283" i="1"/>
  <c r="M283" i="1"/>
  <c r="L283" i="1"/>
  <c r="J283" i="1"/>
  <c r="I283" i="1"/>
  <c r="H283" i="1"/>
  <c r="A283" i="1"/>
  <c r="N281" i="1"/>
  <c r="M281" i="1"/>
  <c r="L281" i="1"/>
  <c r="J281" i="1"/>
  <c r="I281" i="1"/>
  <c r="H281" i="1"/>
  <c r="A281" i="1"/>
  <c r="N279" i="1"/>
  <c r="M279" i="1"/>
  <c r="L279" i="1"/>
  <c r="J279" i="1"/>
  <c r="I279" i="1"/>
  <c r="H279" i="1"/>
  <c r="A279" i="1"/>
  <c r="N276" i="1"/>
  <c r="M276" i="1"/>
  <c r="L276" i="1"/>
  <c r="J276" i="1"/>
  <c r="I276" i="1"/>
  <c r="H276" i="1"/>
  <c r="A276" i="1"/>
  <c r="N273" i="1"/>
  <c r="M273" i="1"/>
  <c r="L273" i="1"/>
  <c r="J273" i="1"/>
  <c r="I273" i="1"/>
  <c r="H273" i="1"/>
  <c r="A273" i="1"/>
  <c r="N271" i="1"/>
  <c r="M271" i="1"/>
  <c r="L271" i="1"/>
  <c r="J271" i="1"/>
  <c r="I271" i="1"/>
  <c r="H271" i="1"/>
  <c r="A271" i="1"/>
  <c r="N269" i="1"/>
  <c r="M269" i="1"/>
  <c r="L269" i="1"/>
  <c r="J269" i="1"/>
  <c r="I269" i="1"/>
  <c r="H269" i="1"/>
  <c r="A269" i="1"/>
  <c r="N267" i="1"/>
  <c r="M267" i="1"/>
  <c r="L267" i="1"/>
  <c r="J267" i="1"/>
  <c r="I267" i="1"/>
  <c r="H267" i="1"/>
  <c r="A267" i="1"/>
  <c r="N265" i="1"/>
  <c r="M265" i="1"/>
  <c r="L265" i="1"/>
  <c r="J265" i="1"/>
  <c r="I265" i="1"/>
  <c r="H265" i="1"/>
  <c r="A265" i="1"/>
  <c r="N263" i="1"/>
  <c r="M263" i="1"/>
  <c r="L263" i="1"/>
  <c r="J263" i="1"/>
  <c r="I263" i="1"/>
  <c r="H263" i="1"/>
  <c r="A263" i="1"/>
  <c r="N261" i="1"/>
  <c r="M261" i="1"/>
  <c r="L261" i="1"/>
  <c r="J261" i="1"/>
  <c r="I261" i="1"/>
  <c r="H261" i="1"/>
  <c r="A261" i="1"/>
  <c r="N259" i="1"/>
  <c r="M259" i="1"/>
  <c r="L259" i="1"/>
  <c r="J259" i="1"/>
  <c r="I259" i="1"/>
  <c r="H259" i="1"/>
  <c r="A259" i="1"/>
  <c r="N257" i="1"/>
  <c r="M257" i="1"/>
  <c r="L257" i="1"/>
  <c r="J257" i="1"/>
  <c r="I257" i="1"/>
  <c r="H257" i="1"/>
  <c r="A257" i="1"/>
  <c r="N255" i="1"/>
  <c r="M255" i="1"/>
  <c r="L255" i="1"/>
  <c r="J255" i="1"/>
  <c r="I255" i="1"/>
  <c r="H255" i="1"/>
  <c r="A255" i="1"/>
  <c r="N253" i="1"/>
  <c r="M253" i="1"/>
  <c r="L253" i="1"/>
  <c r="J253" i="1"/>
  <c r="I253" i="1"/>
  <c r="H253" i="1"/>
  <c r="A253" i="1"/>
  <c r="N251" i="1"/>
  <c r="M251" i="1"/>
  <c r="L251" i="1"/>
  <c r="J251" i="1"/>
  <c r="I251" i="1"/>
  <c r="H251" i="1"/>
  <c r="A251" i="1"/>
  <c r="N249" i="1"/>
  <c r="M249" i="1"/>
  <c r="L249" i="1"/>
  <c r="J249" i="1"/>
  <c r="I249" i="1"/>
  <c r="H249" i="1"/>
  <c r="A249" i="1"/>
  <c r="N247" i="1"/>
  <c r="M247" i="1"/>
  <c r="L247" i="1"/>
  <c r="J247" i="1"/>
  <c r="I247" i="1"/>
  <c r="H247" i="1"/>
  <c r="A247" i="1"/>
  <c r="N245" i="1"/>
  <c r="M245" i="1"/>
  <c r="L245" i="1"/>
  <c r="J245" i="1"/>
  <c r="I245" i="1"/>
  <c r="H245" i="1"/>
  <c r="A245" i="1"/>
  <c r="N243" i="1"/>
  <c r="M243" i="1"/>
  <c r="L243" i="1"/>
  <c r="J243" i="1"/>
  <c r="I243" i="1"/>
  <c r="H243" i="1"/>
  <c r="A243" i="1"/>
  <c r="N241" i="1"/>
  <c r="M241" i="1"/>
  <c r="L241" i="1"/>
  <c r="J241" i="1"/>
  <c r="I241" i="1"/>
  <c r="H241" i="1"/>
  <c r="A241" i="1"/>
  <c r="N239" i="1"/>
  <c r="M239" i="1"/>
  <c r="L239" i="1"/>
  <c r="J239" i="1"/>
  <c r="I239" i="1"/>
  <c r="H239" i="1"/>
  <c r="A239" i="1"/>
  <c r="N237" i="1"/>
  <c r="M237" i="1"/>
  <c r="L237" i="1"/>
  <c r="J237" i="1"/>
  <c r="I237" i="1"/>
  <c r="H237" i="1"/>
  <c r="A237" i="1"/>
  <c r="N235" i="1"/>
  <c r="M235" i="1"/>
  <c r="L235" i="1"/>
  <c r="J235" i="1"/>
  <c r="I235" i="1"/>
  <c r="H235" i="1"/>
  <c r="A235" i="1"/>
  <c r="N233" i="1"/>
  <c r="M233" i="1"/>
  <c r="L233" i="1"/>
  <c r="J233" i="1"/>
  <c r="I233" i="1"/>
  <c r="H233" i="1"/>
  <c r="A233" i="1"/>
  <c r="N228" i="1"/>
  <c r="M228" i="1"/>
  <c r="L228" i="1"/>
  <c r="J228" i="1"/>
  <c r="I228" i="1"/>
  <c r="H228" i="1"/>
  <c r="A228" i="1"/>
  <c r="N226" i="1"/>
  <c r="M226" i="1"/>
  <c r="L226" i="1"/>
  <c r="J226" i="1"/>
  <c r="I226" i="1"/>
  <c r="H226" i="1"/>
  <c r="A226" i="1"/>
  <c r="N224" i="1"/>
  <c r="M224" i="1"/>
  <c r="L224" i="1"/>
  <c r="J224" i="1"/>
  <c r="I224" i="1"/>
  <c r="H224" i="1"/>
  <c r="A224" i="1"/>
  <c r="N222" i="1"/>
  <c r="M222" i="1"/>
  <c r="L222" i="1"/>
  <c r="J222" i="1"/>
  <c r="I222" i="1"/>
  <c r="H222" i="1"/>
  <c r="A222" i="1"/>
  <c r="N220" i="1"/>
  <c r="M220" i="1"/>
  <c r="L220" i="1"/>
  <c r="J220" i="1"/>
  <c r="I220" i="1"/>
  <c r="H220" i="1"/>
  <c r="A220" i="1"/>
  <c r="N218" i="1"/>
  <c r="M218" i="1"/>
  <c r="L218" i="1"/>
  <c r="J218" i="1"/>
  <c r="I218" i="1"/>
  <c r="H218" i="1"/>
  <c r="A218" i="1"/>
  <c r="N216" i="1"/>
  <c r="M216" i="1"/>
  <c r="L216" i="1"/>
  <c r="J216" i="1"/>
  <c r="I216" i="1"/>
  <c r="H216" i="1"/>
  <c r="A216" i="1"/>
  <c r="N214" i="1"/>
  <c r="M214" i="1"/>
  <c r="L214" i="1"/>
  <c r="J214" i="1"/>
  <c r="I214" i="1"/>
  <c r="H214" i="1"/>
  <c r="A214" i="1"/>
  <c r="N211" i="1"/>
  <c r="M211" i="1"/>
  <c r="L211" i="1"/>
  <c r="J211" i="1"/>
  <c r="I211" i="1"/>
  <c r="H211" i="1"/>
  <c r="A211" i="1"/>
  <c r="N208" i="1"/>
  <c r="M208" i="1"/>
  <c r="L208" i="1"/>
  <c r="J208" i="1"/>
  <c r="I208" i="1"/>
  <c r="H208" i="1"/>
  <c r="A208" i="1"/>
  <c r="N206" i="1"/>
  <c r="M206" i="1"/>
  <c r="L206" i="1"/>
  <c r="J206" i="1"/>
  <c r="I206" i="1"/>
  <c r="H206" i="1"/>
  <c r="A206" i="1"/>
  <c r="N204" i="1"/>
  <c r="M204" i="1"/>
  <c r="L204" i="1"/>
  <c r="J204" i="1"/>
  <c r="I204" i="1"/>
  <c r="H204" i="1"/>
  <c r="A204" i="1"/>
  <c r="N202" i="1"/>
  <c r="M202" i="1"/>
  <c r="L202" i="1"/>
  <c r="J202" i="1"/>
  <c r="I202" i="1"/>
  <c r="H202" i="1"/>
  <c r="A202" i="1"/>
  <c r="N200" i="1"/>
  <c r="M200" i="1"/>
  <c r="L200" i="1"/>
  <c r="J200" i="1"/>
  <c r="I200" i="1"/>
  <c r="H200" i="1"/>
  <c r="A200" i="1"/>
  <c r="N198" i="1"/>
  <c r="M198" i="1"/>
  <c r="L198" i="1"/>
  <c r="J198" i="1"/>
  <c r="I198" i="1"/>
  <c r="H198" i="1"/>
  <c r="A198" i="1"/>
  <c r="N196" i="1"/>
  <c r="M196" i="1"/>
  <c r="L196" i="1"/>
  <c r="J196" i="1"/>
  <c r="I196" i="1"/>
  <c r="H196" i="1"/>
  <c r="A196" i="1"/>
  <c r="N194" i="1"/>
  <c r="M194" i="1"/>
  <c r="L194" i="1"/>
  <c r="J194" i="1"/>
  <c r="I194" i="1"/>
  <c r="H194" i="1"/>
  <c r="A194" i="1"/>
  <c r="N192" i="1"/>
  <c r="M192" i="1"/>
  <c r="L192" i="1"/>
  <c r="J192" i="1"/>
  <c r="I192" i="1"/>
  <c r="H192" i="1"/>
  <c r="A192" i="1"/>
  <c r="N190" i="1"/>
  <c r="M190" i="1"/>
  <c r="L190" i="1"/>
  <c r="J190" i="1"/>
  <c r="I190" i="1"/>
  <c r="H190" i="1"/>
  <c r="A190" i="1"/>
  <c r="N188" i="1"/>
  <c r="M188" i="1"/>
  <c r="L188" i="1"/>
  <c r="J188" i="1"/>
  <c r="I188" i="1"/>
  <c r="H188" i="1"/>
  <c r="A188" i="1"/>
  <c r="N186" i="1"/>
  <c r="M186" i="1"/>
  <c r="L186" i="1"/>
  <c r="J186" i="1"/>
  <c r="I186" i="1"/>
  <c r="H186" i="1"/>
  <c r="A186" i="1"/>
  <c r="N184" i="1"/>
  <c r="M184" i="1"/>
  <c r="L184" i="1"/>
  <c r="J184" i="1"/>
  <c r="I184" i="1"/>
  <c r="H184" i="1"/>
  <c r="A184" i="1"/>
  <c r="N182" i="1"/>
  <c r="M182" i="1"/>
  <c r="L182" i="1"/>
  <c r="J182" i="1"/>
  <c r="I182" i="1"/>
  <c r="H182" i="1"/>
  <c r="A182" i="1"/>
  <c r="N180" i="1"/>
  <c r="M180" i="1"/>
  <c r="L180" i="1"/>
  <c r="J180" i="1"/>
  <c r="I180" i="1"/>
  <c r="H180" i="1"/>
  <c r="A180" i="1"/>
  <c r="N178" i="1"/>
  <c r="M178" i="1"/>
  <c r="L178" i="1"/>
  <c r="J178" i="1"/>
  <c r="I178" i="1"/>
  <c r="H178" i="1"/>
  <c r="A178" i="1"/>
  <c r="N176" i="1"/>
  <c r="M176" i="1"/>
  <c r="L176" i="1"/>
  <c r="J176" i="1"/>
  <c r="I176" i="1"/>
  <c r="H176" i="1"/>
  <c r="A176" i="1"/>
  <c r="N174" i="1"/>
  <c r="M174" i="1"/>
  <c r="L174" i="1"/>
  <c r="J174" i="1"/>
  <c r="I174" i="1"/>
  <c r="H174" i="1"/>
  <c r="A174" i="1"/>
  <c r="N172" i="1"/>
  <c r="M172" i="1"/>
  <c r="L172" i="1"/>
  <c r="J172" i="1"/>
  <c r="I172" i="1"/>
  <c r="H172" i="1"/>
  <c r="A172" i="1"/>
  <c r="N170" i="1"/>
  <c r="M170" i="1"/>
  <c r="L170" i="1"/>
  <c r="J170" i="1"/>
  <c r="I170" i="1"/>
  <c r="H170" i="1"/>
  <c r="A170" i="1"/>
  <c r="N168" i="1"/>
  <c r="M168" i="1"/>
  <c r="L168" i="1"/>
  <c r="J168" i="1"/>
  <c r="I168" i="1"/>
  <c r="H168" i="1"/>
  <c r="A168" i="1"/>
  <c r="N166" i="1"/>
  <c r="M166" i="1"/>
  <c r="L166" i="1"/>
  <c r="J166" i="1"/>
  <c r="I166" i="1"/>
  <c r="H166" i="1"/>
  <c r="A166" i="1"/>
  <c r="N163" i="1"/>
  <c r="M163" i="1"/>
  <c r="L163" i="1"/>
  <c r="J163" i="1"/>
  <c r="I163" i="1"/>
  <c r="H163" i="1"/>
  <c r="A163" i="1"/>
  <c r="N161" i="1"/>
  <c r="M161" i="1"/>
  <c r="L161" i="1"/>
  <c r="J161" i="1"/>
  <c r="I161" i="1"/>
  <c r="H161" i="1"/>
  <c r="A161" i="1"/>
  <c r="N159" i="1"/>
  <c r="M159" i="1"/>
  <c r="L159" i="1"/>
  <c r="J159" i="1"/>
  <c r="I159" i="1"/>
  <c r="H159" i="1"/>
  <c r="A159" i="1"/>
  <c r="N157" i="1"/>
  <c r="M157" i="1"/>
  <c r="L157" i="1"/>
  <c r="J157" i="1"/>
  <c r="I157" i="1"/>
  <c r="H157" i="1"/>
  <c r="A157" i="1"/>
  <c r="N155" i="1"/>
  <c r="M155" i="1"/>
  <c r="L155" i="1"/>
  <c r="J155" i="1"/>
  <c r="I155" i="1"/>
  <c r="H155" i="1"/>
  <c r="A155" i="1"/>
  <c r="N153" i="1"/>
  <c r="M153" i="1"/>
  <c r="L153" i="1"/>
  <c r="J153" i="1"/>
  <c r="I153" i="1"/>
  <c r="H153" i="1"/>
  <c r="A153" i="1"/>
  <c r="N151" i="1"/>
  <c r="M151" i="1"/>
  <c r="L151" i="1"/>
  <c r="J151" i="1"/>
  <c r="I151" i="1"/>
  <c r="H151" i="1"/>
  <c r="A151" i="1"/>
  <c r="N149" i="1"/>
  <c r="M149" i="1"/>
  <c r="L149" i="1"/>
  <c r="J149" i="1"/>
  <c r="I149" i="1"/>
  <c r="H149" i="1"/>
  <c r="A149" i="1"/>
  <c r="N147" i="1"/>
  <c r="M147" i="1"/>
  <c r="L147" i="1"/>
  <c r="J147" i="1"/>
  <c r="I147" i="1"/>
  <c r="H147" i="1"/>
  <c r="A147" i="1"/>
  <c r="N145" i="1"/>
  <c r="M145" i="1"/>
  <c r="L145" i="1"/>
  <c r="J145" i="1"/>
  <c r="I145" i="1"/>
  <c r="H145" i="1"/>
  <c r="A145" i="1"/>
  <c r="N142" i="1"/>
  <c r="M142" i="1"/>
  <c r="L142" i="1"/>
  <c r="J142" i="1"/>
  <c r="I142" i="1"/>
  <c r="H142" i="1"/>
  <c r="A142" i="1"/>
  <c r="N140" i="1"/>
  <c r="M140" i="1"/>
  <c r="L140" i="1"/>
  <c r="J140" i="1"/>
  <c r="I140" i="1"/>
  <c r="H140" i="1"/>
  <c r="A140" i="1"/>
  <c r="N138" i="1"/>
  <c r="M138" i="1"/>
  <c r="L138" i="1"/>
  <c r="J138" i="1"/>
  <c r="I138" i="1"/>
  <c r="H138" i="1"/>
  <c r="A138" i="1"/>
  <c r="N136" i="1"/>
  <c r="M136" i="1"/>
  <c r="L136" i="1"/>
  <c r="J136" i="1"/>
  <c r="I136" i="1"/>
  <c r="H136" i="1"/>
  <c r="A136" i="1"/>
  <c r="N134" i="1"/>
  <c r="M134" i="1"/>
  <c r="L134" i="1"/>
  <c r="J134" i="1"/>
  <c r="I134" i="1"/>
  <c r="H134" i="1"/>
  <c r="A134" i="1"/>
  <c r="N132" i="1"/>
  <c r="M132" i="1"/>
  <c r="L132" i="1"/>
  <c r="J132" i="1"/>
  <c r="I132" i="1"/>
  <c r="H132" i="1"/>
  <c r="A132" i="1"/>
  <c r="N130" i="1"/>
  <c r="M130" i="1"/>
  <c r="L130" i="1"/>
  <c r="J130" i="1"/>
  <c r="I130" i="1"/>
  <c r="H130" i="1"/>
  <c r="A130" i="1"/>
  <c r="N128" i="1"/>
  <c r="M128" i="1"/>
  <c r="L128" i="1"/>
  <c r="J128" i="1"/>
  <c r="I128" i="1"/>
  <c r="H128" i="1"/>
  <c r="A128" i="1"/>
  <c r="N126" i="1"/>
  <c r="M126" i="1"/>
  <c r="L126" i="1"/>
  <c r="J126" i="1"/>
  <c r="I126" i="1"/>
  <c r="H126" i="1"/>
  <c r="A126" i="1"/>
  <c r="N124" i="1"/>
  <c r="M124" i="1"/>
  <c r="L124" i="1"/>
  <c r="J124" i="1"/>
  <c r="I124" i="1"/>
  <c r="H124" i="1"/>
  <c r="A124" i="1"/>
  <c r="N122" i="1"/>
  <c r="M122" i="1"/>
  <c r="L122" i="1"/>
  <c r="J122" i="1"/>
  <c r="I122" i="1"/>
  <c r="H122" i="1"/>
  <c r="A122" i="1"/>
  <c r="N120" i="1"/>
  <c r="M120" i="1"/>
  <c r="L120" i="1"/>
  <c r="J120" i="1"/>
  <c r="I120" i="1"/>
  <c r="H120" i="1"/>
  <c r="A120" i="1"/>
  <c r="N118" i="1"/>
  <c r="M118" i="1"/>
  <c r="L118" i="1"/>
  <c r="J118" i="1"/>
  <c r="I118" i="1"/>
  <c r="H118" i="1"/>
  <c r="A118" i="1"/>
  <c r="N116" i="1"/>
  <c r="M116" i="1"/>
  <c r="L116" i="1"/>
  <c r="J116" i="1"/>
  <c r="I116" i="1"/>
  <c r="H116" i="1"/>
  <c r="A116" i="1"/>
  <c r="N114" i="1"/>
  <c r="M114" i="1"/>
  <c r="L114" i="1"/>
  <c r="J114" i="1"/>
  <c r="I114" i="1"/>
  <c r="H114" i="1"/>
  <c r="A114" i="1"/>
  <c r="N112" i="1"/>
  <c r="M112" i="1"/>
  <c r="L112" i="1"/>
  <c r="J112" i="1"/>
  <c r="I112" i="1"/>
  <c r="H112" i="1"/>
  <c r="A112" i="1"/>
  <c r="N110" i="1"/>
  <c r="M110" i="1"/>
  <c r="L110" i="1"/>
  <c r="J110" i="1"/>
  <c r="I110" i="1"/>
  <c r="H110" i="1"/>
  <c r="A110" i="1"/>
  <c r="N107" i="1"/>
  <c r="M107" i="1"/>
  <c r="L107" i="1"/>
  <c r="J107" i="1"/>
  <c r="I107" i="1"/>
  <c r="H107" i="1"/>
  <c r="A107" i="1"/>
  <c r="N105" i="1"/>
  <c r="M105" i="1"/>
  <c r="L105" i="1"/>
  <c r="J105" i="1"/>
  <c r="I105" i="1"/>
  <c r="H105" i="1"/>
  <c r="A105" i="1"/>
  <c r="N103" i="1"/>
  <c r="M103" i="1"/>
  <c r="L103" i="1"/>
  <c r="J103" i="1"/>
  <c r="I103" i="1"/>
  <c r="H103" i="1"/>
  <c r="A103" i="1"/>
  <c r="N101" i="1"/>
  <c r="M101" i="1"/>
  <c r="L101" i="1"/>
  <c r="J101" i="1"/>
  <c r="I101" i="1"/>
  <c r="H101" i="1"/>
  <c r="A101" i="1"/>
  <c r="N99" i="1"/>
  <c r="M99" i="1"/>
  <c r="L99" i="1"/>
  <c r="J99" i="1"/>
  <c r="I99" i="1"/>
  <c r="H99" i="1"/>
  <c r="A99" i="1"/>
  <c r="N97" i="1"/>
  <c r="M97" i="1"/>
  <c r="L97" i="1"/>
  <c r="J97" i="1"/>
  <c r="I97" i="1"/>
  <c r="H97" i="1"/>
  <c r="A97" i="1"/>
  <c r="N95" i="1"/>
  <c r="M95" i="1"/>
  <c r="L95" i="1"/>
  <c r="J95" i="1"/>
  <c r="I95" i="1"/>
  <c r="H95" i="1"/>
  <c r="A95" i="1"/>
  <c r="N93" i="1"/>
  <c r="M93" i="1"/>
  <c r="L93" i="1"/>
  <c r="J93" i="1"/>
  <c r="I93" i="1"/>
  <c r="H93" i="1"/>
  <c r="A93" i="1"/>
  <c r="N87" i="1"/>
  <c r="M87" i="1"/>
  <c r="L87" i="1"/>
  <c r="J87" i="1"/>
  <c r="I87" i="1"/>
  <c r="H87" i="1"/>
  <c r="A87" i="1"/>
  <c r="N91" i="1"/>
  <c r="M91" i="1"/>
  <c r="L91" i="1"/>
  <c r="J91" i="1"/>
  <c r="I91" i="1"/>
  <c r="H91" i="1"/>
  <c r="A91" i="1"/>
  <c r="N89" i="1"/>
  <c r="M89" i="1"/>
  <c r="L89" i="1"/>
  <c r="J89" i="1"/>
  <c r="I89" i="1"/>
  <c r="H89" i="1"/>
  <c r="A89" i="1"/>
  <c r="N85" i="1"/>
  <c r="M85" i="1"/>
  <c r="L85" i="1"/>
  <c r="J85" i="1"/>
  <c r="I85" i="1"/>
  <c r="H85" i="1"/>
  <c r="A85" i="1"/>
  <c r="N83" i="1"/>
  <c r="M83" i="1"/>
  <c r="L83" i="1"/>
  <c r="J83" i="1"/>
  <c r="I83" i="1"/>
  <c r="H83" i="1"/>
  <c r="A83" i="1"/>
  <c r="N81" i="1"/>
  <c r="M81" i="1"/>
  <c r="L81" i="1"/>
  <c r="J81" i="1"/>
  <c r="I81" i="1"/>
  <c r="H81" i="1"/>
  <c r="A81" i="1"/>
  <c r="N79" i="1"/>
  <c r="M79" i="1"/>
  <c r="L79" i="1"/>
  <c r="J79" i="1"/>
  <c r="I79" i="1"/>
  <c r="H79" i="1"/>
  <c r="A79" i="1"/>
  <c r="N77" i="1"/>
  <c r="M77" i="1"/>
  <c r="L77" i="1"/>
  <c r="J77" i="1"/>
  <c r="I77" i="1"/>
  <c r="H77" i="1"/>
  <c r="A77" i="1"/>
  <c r="N75" i="1"/>
  <c r="M75" i="1"/>
  <c r="L75" i="1"/>
  <c r="J75" i="1"/>
  <c r="I75" i="1"/>
  <c r="H75" i="1"/>
  <c r="A75" i="1"/>
  <c r="N73" i="1"/>
  <c r="M73" i="1"/>
  <c r="L73" i="1"/>
  <c r="J73" i="1"/>
  <c r="I73" i="1"/>
  <c r="H73" i="1"/>
  <c r="A73" i="1"/>
  <c r="N71" i="1"/>
  <c r="M71" i="1"/>
  <c r="L71" i="1"/>
  <c r="J71" i="1"/>
  <c r="I71" i="1"/>
  <c r="H71" i="1"/>
  <c r="A71" i="1"/>
  <c r="N69" i="1"/>
  <c r="M69" i="1"/>
  <c r="L69" i="1"/>
  <c r="J69" i="1"/>
  <c r="I69" i="1"/>
  <c r="H69" i="1"/>
  <c r="A69" i="1"/>
  <c r="N67" i="1"/>
  <c r="M67" i="1"/>
  <c r="L67" i="1"/>
  <c r="J67" i="1"/>
  <c r="I67" i="1"/>
  <c r="H67" i="1"/>
  <c r="A67" i="1"/>
  <c r="N65" i="1"/>
  <c r="M65" i="1"/>
  <c r="L65" i="1"/>
  <c r="J65" i="1"/>
  <c r="I65" i="1"/>
  <c r="H65" i="1"/>
  <c r="A65" i="1"/>
  <c r="N63" i="1"/>
  <c r="M63" i="1"/>
  <c r="L63" i="1"/>
  <c r="J63" i="1"/>
  <c r="I63" i="1"/>
  <c r="H63" i="1"/>
  <c r="A63" i="1"/>
  <c r="N61" i="1"/>
  <c r="M61" i="1"/>
  <c r="L61" i="1"/>
  <c r="J61" i="1"/>
  <c r="I61" i="1"/>
  <c r="H61" i="1"/>
  <c r="A61" i="1"/>
  <c r="N59" i="1"/>
  <c r="M59" i="1"/>
  <c r="L59" i="1"/>
  <c r="J59" i="1"/>
  <c r="I59" i="1"/>
  <c r="H59" i="1"/>
  <c r="A59" i="1"/>
  <c r="N57" i="1"/>
  <c r="M57" i="1"/>
  <c r="L57" i="1"/>
  <c r="J57" i="1"/>
  <c r="I57" i="1"/>
  <c r="H57" i="1"/>
  <c r="A57" i="1"/>
  <c r="N55" i="1"/>
  <c r="M55" i="1"/>
  <c r="L55" i="1"/>
  <c r="J55" i="1"/>
  <c r="I55" i="1"/>
  <c r="H55" i="1"/>
  <c r="A55" i="1"/>
  <c r="N53" i="1"/>
  <c r="M53" i="1"/>
  <c r="L53" i="1"/>
  <c r="J53" i="1"/>
  <c r="I53" i="1"/>
  <c r="H53" i="1"/>
  <c r="A53" i="1"/>
  <c r="N51" i="1"/>
  <c r="M51" i="1"/>
  <c r="L51" i="1"/>
  <c r="J51" i="1"/>
  <c r="I51" i="1"/>
  <c r="H51" i="1"/>
  <c r="A51" i="1"/>
  <c r="N49" i="1"/>
  <c r="M49" i="1"/>
  <c r="L49" i="1"/>
  <c r="J49" i="1"/>
  <c r="I49" i="1"/>
  <c r="H49" i="1"/>
  <c r="A49" i="1"/>
  <c r="N47" i="1"/>
  <c r="M47" i="1"/>
  <c r="L47" i="1"/>
  <c r="J47" i="1"/>
  <c r="I47" i="1"/>
  <c r="H47" i="1"/>
  <c r="A47" i="1"/>
  <c r="N45" i="1"/>
  <c r="M45" i="1"/>
  <c r="L45" i="1"/>
  <c r="J45" i="1"/>
  <c r="I45" i="1"/>
  <c r="H45" i="1"/>
  <c r="A45" i="1"/>
  <c r="N43" i="1"/>
  <c r="M43" i="1"/>
  <c r="L43" i="1"/>
  <c r="J43" i="1"/>
  <c r="I43" i="1"/>
  <c r="H43" i="1"/>
  <c r="A43" i="1"/>
  <c r="N41" i="1"/>
  <c r="M41" i="1"/>
  <c r="L41" i="1"/>
  <c r="J41" i="1"/>
  <c r="I41" i="1"/>
  <c r="H41" i="1"/>
  <c r="A41" i="1"/>
  <c r="N39" i="1"/>
  <c r="M39" i="1"/>
  <c r="L39" i="1"/>
  <c r="J39" i="1"/>
  <c r="I39" i="1"/>
  <c r="H39" i="1"/>
  <c r="A39" i="1"/>
  <c r="N37" i="1"/>
  <c r="M37" i="1"/>
  <c r="L37" i="1"/>
  <c r="J37" i="1"/>
  <c r="I37" i="1"/>
  <c r="H37" i="1"/>
  <c r="A37" i="1"/>
  <c r="N35" i="1"/>
  <c r="M35" i="1"/>
  <c r="L35" i="1"/>
  <c r="J35" i="1"/>
  <c r="I35" i="1"/>
  <c r="H35" i="1"/>
  <c r="A35" i="1"/>
  <c r="N33" i="1"/>
  <c r="M33" i="1"/>
  <c r="L33" i="1"/>
  <c r="J33" i="1"/>
  <c r="I33" i="1"/>
  <c r="H33" i="1"/>
  <c r="A33" i="1"/>
  <c r="N31" i="1"/>
  <c r="M31" i="1"/>
  <c r="L31" i="1"/>
  <c r="J31" i="1"/>
  <c r="I31" i="1"/>
  <c r="H31" i="1"/>
  <c r="A31" i="1"/>
  <c r="N29" i="1"/>
  <c r="M29" i="1"/>
  <c r="L29" i="1"/>
  <c r="J29" i="1"/>
  <c r="I29" i="1"/>
  <c r="H29" i="1"/>
  <c r="A29" i="1"/>
  <c r="N27" i="1"/>
  <c r="M27" i="1"/>
  <c r="L27" i="1"/>
  <c r="J27" i="1"/>
  <c r="I27" i="1"/>
  <c r="H27" i="1"/>
  <c r="A27" i="1"/>
  <c r="N25" i="1"/>
  <c r="M25" i="1"/>
  <c r="L25" i="1"/>
  <c r="J25" i="1"/>
  <c r="I25" i="1"/>
  <c r="H25" i="1"/>
  <c r="A25" i="1"/>
  <c r="N23" i="1"/>
  <c r="M23" i="1"/>
  <c r="L23" i="1"/>
  <c r="J23" i="1"/>
  <c r="I23" i="1"/>
  <c r="H23" i="1"/>
  <c r="A23" i="1"/>
  <c r="N19" i="1"/>
  <c r="M19" i="1"/>
  <c r="L19" i="1"/>
  <c r="J19" i="1"/>
  <c r="I19" i="1"/>
  <c r="H19" i="1"/>
  <c r="A19" i="1"/>
  <c r="N21" i="1"/>
  <c r="M21" i="1"/>
  <c r="L21" i="1"/>
  <c r="J21" i="1"/>
  <c r="I21" i="1"/>
  <c r="H21" i="1"/>
  <c r="A21" i="1"/>
  <c r="N17" i="1"/>
  <c r="M17" i="1"/>
  <c r="L17" i="1"/>
  <c r="J17" i="1"/>
  <c r="I17" i="1"/>
  <c r="H17" i="1"/>
  <c r="A17" i="1"/>
  <c r="N15" i="1"/>
  <c r="M15" i="1"/>
  <c r="L15" i="1"/>
  <c r="J15" i="1"/>
  <c r="I15" i="1"/>
  <c r="H15" i="1"/>
  <c r="A15" i="1"/>
  <c r="N13" i="1"/>
  <c r="M13" i="1"/>
  <c r="L13" i="1"/>
  <c r="J13" i="1"/>
  <c r="I13" i="1"/>
  <c r="H13" i="1"/>
  <c r="A13" i="1"/>
  <c r="N11" i="1"/>
  <c r="M11" i="1"/>
  <c r="L11" i="1"/>
  <c r="J11" i="1"/>
  <c r="I11" i="1"/>
  <c r="H11" i="1"/>
  <c r="A11" i="1"/>
  <c r="N9" i="1"/>
  <c r="M9" i="1"/>
  <c r="L9" i="1"/>
  <c r="J9" i="1"/>
  <c r="I9" i="1"/>
  <c r="H9" i="1"/>
  <c r="A9" i="1"/>
  <c r="N7" i="1"/>
  <c r="M7" i="1"/>
  <c r="L7" i="1"/>
  <c r="J7" i="1"/>
  <c r="I7" i="1"/>
  <c r="H7" i="1"/>
  <c r="A7" i="1"/>
  <c r="N5" i="1"/>
  <c r="M5" i="1"/>
  <c r="L5" i="1"/>
  <c r="J5" i="1"/>
  <c r="I5" i="1"/>
  <c r="H5" i="1"/>
  <c r="A5" i="1"/>
  <c r="N3" i="1"/>
  <c r="M3" i="1"/>
  <c r="L3" i="1"/>
  <c r="J3" i="1"/>
  <c r="I3" i="1"/>
  <c r="H3" i="1"/>
  <c r="A3" i="1"/>
  <c r="A278" i="1" l="1"/>
  <c r="H278" i="1"/>
  <c r="I278" i="1"/>
  <c r="J278" i="1"/>
  <c r="L278" i="1"/>
  <c r="M278" i="1"/>
  <c r="N278" i="1"/>
  <c r="A275" i="1"/>
  <c r="H275" i="1"/>
  <c r="I275" i="1"/>
  <c r="J275" i="1"/>
  <c r="L275" i="1"/>
  <c r="M275" i="1"/>
  <c r="N275" i="1"/>
  <c r="A230" i="1"/>
  <c r="H230" i="1"/>
  <c r="I230" i="1"/>
  <c r="J230" i="1"/>
  <c r="L230" i="1"/>
  <c r="M230" i="1"/>
  <c r="N230" i="1"/>
  <c r="A231" i="1"/>
  <c r="H231" i="1"/>
  <c r="I231" i="1"/>
  <c r="J231" i="1"/>
  <c r="L231" i="1"/>
  <c r="M231" i="1"/>
  <c r="N231" i="1"/>
  <c r="A225" i="1"/>
  <c r="H225" i="1"/>
  <c r="I225" i="1"/>
  <c r="J225" i="1"/>
  <c r="L225" i="1"/>
  <c r="M225" i="1"/>
  <c r="N225" i="1"/>
  <c r="A227" i="1"/>
  <c r="H227" i="1"/>
  <c r="I227" i="1"/>
  <c r="J227" i="1"/>
  <c r="L227" i="1"/>
  <c r="M227" i="1"/>
  <c r="N227" i="1"/>
  <c r="A232" i="1"/>
  <c r="H232" i="1"/>
  <c r="I232" i="1"/>
  <c r="J232" i="1"/>
  <c r="L232" i="1"/>
  <c r="M232" i="1"/>
  <c r="N232" i="1"/>
  <c r="A212" i="1"/>
  <c r="H212" i="1"/>
  <c r="I212" i="1"/>
  <c r="J212" i="1"/>
  <c r="L212" i="1"/>
  <c r="M212" i="1"/>
  <c r="N212" i="1"/>
  <c r="A210" i="1"/>
  <c r="H210" i="1"/>
  <c r="I210" i="1"/>
  <c r="J210" i="1"/>
  <c r="L210" i="1"/>
  <c r="M210" i="1"/>
  <c r="N210" i="1"/>
  <c r="A213" i="1"/>
  <c r="H213" i="1"/>
  <c r="I213" i="1"/>
  <c r="J213" i="1"/>
  <c r="L213" i="1"/>
  <c r="M213" i="1"/>
  <c r="N213" i="1"/>
  <c r="A162" i="1"/>
  <c r="H162" i="1"/>
  <c r="I162" i="1"/>
  <c r="J162" i="1"/>
  <c r="L162" i="1"/>
  <c r="M162" i="1"/>
  <c r="N162" i="1"/>
  <c r="A144" i="1"/>
  <c r="H144" i="1"/>
  <c r="I144" i="1"/>
  <c r="J144" i="1"/>
  <c r="L144" i="1"/>
  <c r="M144" i="1"/>
  <c r="N144" i="1"/>
  <c r="A106" i="1"/>
  <c r="H106" i="1"/>
  <c r="I106" i="1"/>
  <c r="J106" i="1"/>
  <c r="L106" i="1"/>
  <c r="M106" i="1"/>
  <c r="N106" i="1"/>
  <c r="N324" i="1" l="1"/>
  <c r="M324" i="1"/>
  <c r="L324" i="1"/>
  <c r="J324" i="1"/>
  <c r="I324" i="1"/>
  <c r="H324" i="1"/>
  <c r="A324" i="1"/>
  <c r="N322" i="1"/>
  <c r="M322" i="1"/>
  <c r="L322" i="1"/>
  <c r="J322" i="1"/>
  <c r="I322" i="1"/>
  <c r="H322" i="1"/>
  <c r="A322" i="1"/>
  <c r="N320" i="1"/>
  <c r="M320" i="1"/>
  <c r="L320" i="1"/>
  <c r="J320" i="1"/>
  <c r="I320" i="1"/>
  <c r="H320" i="1"/>
  <c r="A320" i="1"/>
  <c r="N318" i="1"/>
  <c r="M318" i="1"/>
  <c r="L318" i="1"/>
  <c r="J318" i="1"/>
  <c r="I318" i="1"/>
  <c r="H318" i="1"/>
  <c r="A318" i="1"/>
  <c r="N316" i="1"/>
  <c r="M316" i="1"/>
  <c r="L316" i="1"/>
  <c r="J316" i="1"/>
  <c r="I316" i="1"/>
  <c r="H316" i="1"/>
  <c r="A316" i="1"/>
  <c r="N314" i="1"/>
  <c r="M314" i="1"/>
  <c r="L314" i="1"/>
  <c r="J314" i="1"/>
  <c r="I314" i="1"/>
  <c r="H314" i="1"/>
  <c r="A314" i="1"/>
  <c r="N312" i="1"/>
  <c r="M312" i="1"/>
  <c r="L312" i="1"/>
  <c r="J312" i="1"/>
  <c r="I312" i="1"/>
  <c r="H312" i="1"/>
  <c r="A312" i="1"/>
  <c r="N310" i="1"/>
  <c r="M310" i="1"/>
  <c r="L310" i="1"/>
  <c r="J310" i="1"/>
  <c r="I310" i="1"/>
  <c r="H310" i="1"/>
  <c r="A310" i="1"/>
  <c r="N308" i="1"/>
  <c r="M308" i="1"/>
  <c r="L308" i="1"/>
  <c r="J308" i="1"/>
  <c r="I308" i="1"/>
  <c r="H308" i="1"/>
  <c r="A308" i="1"/>
  <c r="N306" i="1"/>
  <c r="M306" i="1"/>
  <c r="L306" i="1"/>
  <c r="J306" i="1"/>
  <c r="I306" i="1"/>
  <c r="H306" i="1"/>
  <c r="A306" i="1"/>
  <c r="N304" i="1"/>
  <c r="M304" i="1"/>
  <c r="L304" i="1"/>
  <c r="J304" i="1"/>
  <c r="I304" i="1"/>
  <c r="H304" i="1"/>
  <c r="A304" i="1"/>
  <c r="N302" i="1"/>
  <c r="M302" i="1"/>
  <c r="L302" i="1"/>
  <c r="J302" i="1"/>
  <c r="I302" i="1"/>
  <c r="H302" i="1"/>
  <c r="A302" i="1"/>
  <c r="N300" i="1"/>
  <c r="M300" i="1"/>
  <c r="L300" i="1"/>
  <c r="J300" i="1"/>
  <c r="I300" i="1"/>
  <c r="H300" i="1"/>
  <c r="A300" i="1"/>
  <c r="N298" i="1"/>
  <c r="M298" i="1"/>
  <c r="L298" i="1"/>
  <c r="J298" i="1"/>
  <c r="I298" i="1"/>
  <c r="H298" i="1"/>
  <c r="A298" i="1"/>
  <c r="N296" i="1"/>
  <c r="M296" i="1"/>
  <c r="L296" i="1"/>
  <c r="J296" i="1"/>
  <c r="I296" i="1"/>
  <c r="H296" i="1"/>
  <c r="A296" i="1"/>
  <c r="N294" i="1"/>
  <c r="M294" i="1"/>
  <c r="L294" i="1"/>
  <c r="J294" i="1"/>
  <c r="I294" i="1"/>
  <c r="H294" i="1"/>
  <c r="A294" i="1"/>
  <c r="N292" i="1"/>
  <c r="M292" i="1"/>
  <c r="L292" i="1"/>
  <c r="J292" i="1"/>
  <c r="I292" i="1"/>
  <c r="H292" i="1"/>
  <c r="A292" i="1"/>
  <c r="N290" i="1"/>
  <c r="M290" i="1"/>
  <c r="L290" i="1"/>
  <c r="J290" i="1"/>
  <c r="I290" i="1"/>
  <c r="H290" i="1"/>
  <c r="A290" i="1"/>
  <c r="N288" i="1"/>
  <c r="M288" i="1"/>
  <c r="L288" i="1"/>
  <c r="J288" i="1"/>
  <c r="I288" i="1"/>
  <c r="H288" i="1"/>
  <c r="A288" i="1"/>
  <c r="N286" i="1"/>
  <c r="M286" i="1"/>
  <c r="L286" i="1"/>
  <c r="J286" i="1"/>
  <c r="I286" i="1"/>
  <c r="H286" i="1"/>
  <c r="A286" i="1"/>
  <c r="N284" i="1"/>
  <c r="M284" i="1"/>
  <c r="L284" i="1"/>
  <c r="J284" i="1"/>
  <c r="I284" i="1"/>
  <c r="H284" i="1"/>
  <c r="A284" i="1"/>
  <c r="N282" i="1"/>
  <c r="M282" i="1"/>
  <c r="L282" i="1"/>
  <c r="J282" i="1"/>
  <c r="I282" i="1"/>
  <c r="H282" i="1"/>
  <c r="A282" i="1"/>
  <c r="N280" i="1"/>
  <c r="M280" i="1"/>
  <c r="L280" i="1"/>
  <c r="J280" i="1"/>
  <c r="I280" i="1"/>
  <c r="H280" i="1"/>
  <c r="A280" i="1"/>
  <c r="N277" i="1"/>
  <c r="M277" i="1"/>
  <c r="L277" i="1"/>
  <c r="J277" i="1"/>
  <c r="I277" i="1"/>
  <c r="H277" i="1"/>
  <c r="A277" i="1"/>
  <c r="N274" i="1"/>
  <c r="M274" i="1"/>
  <c r="L274" i="1"/>
  <c r="J274" i="1"/>
  <c r="I274" i="1"/>
  <c r="H274" i="1"/>
  <c r="A274" i="1"/>
  <c r="N272" i="1"/>
  <c r="M272" i="1"/>
  <c r="L272" i="1"/>
  <c r="J272" i="1"/>
  <c r="I272" i="1"/>
  <c r="H272" i="1"/>
  <c r="A272" i="1"/>
  <c r="N270" i="1"/>
  <c r="M270" i="1"/>
  <c r="L270" i="1"/>
  <c r="J270" i="1"/>
  <c r="I270" i="1"/>
  <c r="H270" i="1"/>
  <c r="A270" i="1"/>
  <c r="N268" i="1"/>
  <c r="M268" i="1"/>
  <c r="L268" i="1"/>
  <c r="J268" i="1"/>
  <c r="I268" i="1"/>
  <c r="H268" i="1"/>
  <c r="A268" i="1"/>
  <c r="N266" i="1"/>
  <c r="M266" i="1"/>
  <c r="L266" i="1"/>
  <c r="J266" i="1"/>
  <c r="I266" i="1"/>
  <c r="H266" i="1"/>
  <c r="A266" i="1"/>
  <c r="N264" i="1"/>
  <c r="M264" i="1"/>
  <c r="L264" i="1"/>
  <c r="J264" i="1"/>
  <c r="I264" i="1"/>
  <c r="H264" i="1"/>
  <c r="A264" i="1"/>
  <c r="N262" i="1"/>
  <c r="M262" i="1"/>
  <c r="L262" i="1"/>
  <c r="J262" i="1"/>
  <c r="I262" i="1"/>
  <c r="H262" i="1"/>
  <c r="A262" i="1"/>
  <c r="N260" i="1"/>
  <c r="M260" i="1"/>
  <c r="L260" i="1"/>
  <c r="J260" i="1"/>
  <c r="I260" i="1"/>
  <c r="H260" i="1"/>
  <c r="A260" i="1"/>
  <c r="N258" i="1"/>
  <c r="M258" i="1"/>
  <c r="L258" i="1"/>
  <c r="J258" i="1"/>
  <c r="I258" i="1"/>
  <c r="H258" i="1"/>
  <c r="A258" i="1"/>
  <c r="N256" i="1"/>
  <c r="M256" i="1"/>
  <c r="L256" i="1"/>
  <c r="J256" i="1"/>
  <c r="I256" i="1"/>
  <c r="H256" i="1"/>
  <c r="A256" i="1"/>
  <c r="N254" i="1"/>
  <c r="M254" i="1"/>
  <c r="L254" i="1"/>
  <c r="J254" i="1"/>
  <c r="I254" i="1"/>
  <c r="H254" i="1"/>
  <c r="A254" i="1"/>
  <c r="N252" i="1"/>
  <c r="M252" i="1"/>
  <c r="L252" i="1"/>
  <c r="J252" i="1"/>
  <c r="I252" i="1"/>
  <c r="H252" i="1"/>
  <c r="A252" i="1"/>
  <c r="N250" i="1"/>
  <c r="M250" i="1"/>
  <c r="L250" i="1"/>
  <c r="J250" i="1"/>
  <c r="I250" i="1"/>
  <c r="H250" i="1"/>
  <c r="A250" i="1"/>
  <c r="N248" i="1"/>
  <c r="M248" i="1"/>
  <c r="L248" i="1"/>
  <c r="J248" i="1"/>
  <c r="I248" i="1"/>
  <c r="H248" i="1"/>
  <c r="A248" i="1"/>
  <c r="N246" i="1"/>
  <c r="M246" i="1"/>
  <c r="L246" i="1"/>
  <c r="J246" i="1"/>
  <c r="I246" i="1"/>
  <c r="H246" i="1"/>
  <c r="A246" i="1"/>
  <c r="N244" i="1"/>
  <c r="M244" i="1"/>
  <c r="L244" i="1"/>
  <c r="J244" i="1"/>
  <c r="I244" i="1"/>
  <c r="H244" i="1"/>
  <c r="A244" i="1"/>
  <c r="N242" i="1"/>
  <c r="M242" i="1"/>
  <c r="L242" i="1"/>
  <c r="J242" i="1"/>
  <c r="I242" i="1"/>
  <c r="H242" i="1"/>
  <c r="A242" i="1"/>
  <c r="N240" i="1"/>
  <c r="M240" i="1"/>
  <c r="L240" i="1"/>
  <c r="J240" i="1"/>
  <c r="I240" i="1"/>
  <c r="H240" i="1"/>
  <c r="A240" i="1"/>
  <c r="N238" i="1"/>
  <c r="M238" i="1"/>
  <c r="L238" i="1"/>
  <c r="J238" i="1"/>
  <c r="I238" i="1"/>
  <c r="H238" i="1"/>
  <c r="A238" i="1"/>
  <c r="N236" i="1"/>
  <c r="M236" i="1"/>
  <c r="L236" i="1"/>
  <c r="J236" i="1"/>
  <c r="I236" i="1"/>
  <c r="H236" i="1"/>
  <c r="A236" i="1"/>
  <c r="N234" i="1"/>
  <c r="M234" i="1"/>
  <c r="L234" i="1"/>
  <c r="J234" i="1"/>
  <c r="I234" i="1"/>
  <c r="H234" i="1"/>
  <c r="A234" i="1"/>
  <c r="N229" i="1"/>
  <c r="M229" i="1"/>
  <c r="L229" i="1"/>
  <c r="J229" i="1"/>
  <c r="I229" i="1"/>
  <c r="H229" i="1"/>
  <c r="A229" i="1"/>
  <c r="N223" i="1"/>
  <c r="M223" i="1"/>
  <c r="L223" i="1"/>
  <c r="J223" i="1"/>
  <c r="I223" i="1"/>
  <c r="H223" i="1"/>
  <c r="A223" i="1"/>
  <c r="N221" i="1"/>
  <c r="M221" i="1"/>
  <c r="L221" i="1"/>
  <c r="J221" i="1"/>
  <c r="I221" i="1"/>
  <c r="H221" i="1"/>
  <c r="A221" i="1"/>
  <c r="N219" i="1"/>
  <c r="M219" i="1"/>
  <c r="L219" i="1"/>
  <c r="J219" i="1"/>
  <c r="I219" i="1"/>
  <c r="H219" i="1"/>
  <c r="A219" i="1"/>
  <c r="N217" i="1"/>
  <c r="M217" i="1"/>
  <c r="L217" i="1"/>
  <c r="J217" i="1"/>
  <c r="I217" i="1"/>
  <c r="H217" i="1"/>
  <c r="A217" i="1"/>
  <c r="N215" i="1"/>
  <c r="M215" i="1"/>
  <c r="L215" i="1"/>
  <c r="J215" i="1"/>
  <c r="I215" i="1"/>
  <c r="H215" i="1"/>
  <c r="A215" i="1"/>
  <c r="N209" i="1"/>
  <c r="M209" i="1"/>
  <c r="L209" i="1"/>
  <c r="J209" i="1"/>
  <c r="I209" i="1"/>
  <c r="H209" i="1"/>
  <c r="A209" i="1"/>
  <c r="N207" i="1"/>
  <c r="M207" i="1"/>
  <c r="L207" i="1"/>
  <c r="J207" i="1"/>
  <c r="I207" i="1"/>
  <c r="H207" i="1"/>
  <c r="A207" i="1"/>
  <c r="N205" i="1"/>
  <c r="M205" i="1"/>
  <c r="L205" i="1"/>
  <c r="J205" i="1"/>
  <c r="I205" i="1"/>
  <c r="H205" i="1"/>
  <c r="A205" i="1"/>
  <c r="N203" i="1"/>
  <c r="M203" i="1"/>
  <c r="L203" i="1"/>
  <c r="J203" i="1"/>
  <c r="I203" i="1"/>
  <c r="H203" i="1"/>
  <c r="A203" i="1"/>
  <c r="N201" i="1"/>
  <c r="M201" i="1"/>
  <c r="L201" i="1"/>
  <c r="J201" i="1"/>
  <c r="I201" i="1"/>
  <c r="H201" i="1"/>
  <c r="A201" i="1"/>
  <c r="N199" i="1"/>
  <c r="M199" i="1"/>
  <c r="L199" i="1"/>
  <c r="J199" i="1"/>
  <c r="I199" i="1"/>
  <c r="H199" i="1"/>
  <c r="A199" i="1"/>
  <c r="N197" i="1"/>
  <c r="M197" i="1"/>
  <c r="L197" i="1"/>
  <c r="J197" i="1"/>
  <c r="I197" i="1"/>
  <c r="H197" i="1"/>
  <c r="A197" i="1"/>
  <c r="N195" i="1"/>
  <c r="M195" i="1"/>
  <c r="L195" i="1"/>
  <c r="J195" i="1"/>
  <c r="I195" i="1"/>
  <c r="H195" i="1"/>
  <c r="A195" i="1"/>
  <c r="N193" i="1"/>
  <c r="M193" i="1"/>
  <c r="L193" i="1"/>
  <c r="J193" i="1"/>
  <c r="I193" i="1"/>
  <c r="H193" i="1"/>
  <c r="A193" i="1"/>
  <c r="N191" i="1"/>
  <c r="M191" i="1"/>
  <c r="L191" i="1"/>
  <c r="J191" i="1"/>
  <c r="I191" i="1"/>
  <c r="H191" i="1"/>
  <c r="A191" i="1"/>
  <c r="N189" i="1"/>
  <c r="M189" i="1"/>
  <c r="L189" i="1"/>
  <c r="J189" i="1"/>
  <c r="I189" i="1"/>
  <c r="H189" i="1"/>
  <c r="A189" i="1"/>
  <c r="N187" i="1"/>
  <c r="M187" i="1"/>
  <c r="L187" i="1"/>
  <c r="J187" i="1"/>
  <c r="I187" i="1"/>
  <c r="H187" i="1"/>
  <c r="A187" i="1"/>
  <c r="N185" i="1"/>
  <c r="M185" i="1"/>
  <c r="L185" i="1"/>
  <c r="J185" i="1"/>
  <c r="I185" i="1"/>
  <c r="H185" i="1"/>
  <c r="A185" i="1"/>
  <c r="N183" i="1"/>
  <c r="M183" i="1"/>
  <c r="L183" i="1"/>
  <c r="J183" i="1"/>
  <c r="I183" i="1"/>
  <c r="H183" i="1"/>
  <c r="A183" i="1"/>
  <c r="N181" i="1"/>
  <c r="M181" i="1"/>
  <c r="L181" i="1"/>
  <c r="J181" i="1"/>
  <c r="I181" i="1"/>
  <c r="H181" i="1"/>
  <c r="A181" i="1"/>
  <c r="N179" i="1"/>
  <c r="M179" i="1"/>
  <c r="L179" i="1"/>
  <c r="J179" i="1"/>
  <c r="I179" i="1"/>
  <c r="H179" i="1"/>
  <c r="A179" i="1"/>
  <c r="N177" i="1"/>
  <c r="M177" i="1"/>
  <c r="L177" i="1"/>
  <c r="J177" i="1"/>
  <c r="I177" i="1"/>
  <c r="H177" i="1"/>
  <c r="A177" i="1"/>
  <c r="N175" i="1"/>
  <c r="M175" i="1"/>
  <c r="L175" i="1"/>
  <c r="J175" i="1"/>
  <c r="I175" i="1"/>
  <c r="H175" i="1"/>
  <c r="A175" i="1"/>
  <c r="N173" i="1"/>
  <c r="M173" i="1"/>
  <c r="L173" i="1"/>
  <c r="J173" i="1"/>
  <c r="I173" i="1"/>
  <c r="H173" i="1"/>
  <c r="A173" i="1"/>
  <c r="N171" i="1"/>
  <c r="M171" i="1"/>
  <c r="L171" i="1"/>
  <c r="J171" i="1"/>
  <c r="I171" i="1"/>
  <c r="H171" i="1"/>
  <c r="A171" i="1"/>
  <c r="N169" i="1"/>
  <c r="M169" i="1"/>
  <c r="L169" i="1"/>
  <c r="J169" i="1"/>
  <c r="I169" i="1"/>
  <c r="H169" i="1"/>
  <c r="A169" i="1"/>
  <c r="N167" i="1"/>
  <c r="M167" i="1"/>
  <c r="L167" i="1"/>
  <c r="J167" i="1"/>
  <c r="I167" i="1"/>
  <c r="H167" i="1"/>
  <c r="A167" i="1"/>
  <c r="N165" i="1"/>
  <c r="M165" i="1"/>
  <c r="L165" i="1"/>
  <c r="J165" i="1"/>
  <c r="I165" i="1"/>
  <c r="H165" i="1"/>
  <c r="A165" i="1"/>
  <c r="N164" i="1"/>
  <c r="M164" i="1"/>
  <c r="L164" i="1"/>
  <c r="J164" i="1"/>
  <c r="I164" i="1"/>
  <c r="H164" i="1"/>
  <c r="A164" i="1"/>
  <c r="N160" i="1"/>
  <c r="M160" i="1"/>
  <c r="L160" i="1"/>
  <c r="J160" i="1"/>
  <c r="I160" i="1"/>
  <c r="H160" i="1"/>
  <c r="A160" i="1"/>
  <c r="N158" i="1"/>
  <c r="M158" i="1"/>
  <c r="L158" i="1"/>
  <c r="J158" i="1"/>
  <c r="I158" i="1"/>
  <c r="H158" i="1"/>
  <c r="A158" i="1"/>
  <c r="N156" i="1"/>
  <c r="M156" i="1"/>
  <c r="L156" i="1"/>
  <c r="J156" i="1"/>
  <c r="I156" i="1"/>
  <c r="H156" i="1"/>
  <c r="A156" i="1"/>
  <c r="N154" i="1"/>
  <c r="M154" i="1"/>
  <c r="L154" i="1"/>
  <c r="J154" i="1"/>
  <c r="I154" i="1"/>
  <c r="H154" i="1"/>
  <c r="A154" i="1"/>
  <c r="N152" i="1"/>
  <c r="M152" i="1"/>
  <c r="L152" i="1"/>
  <c r="J152" i="1"/>
  <c r="I152" i="1"/>
  <c r="H152" i="1"/>
  <c r="A152" i="1"/>
  <c r="N150" i="1"/>
  <c r="M150" i="1"/>
  <c r="L150" i="1"/>
  <c r="J150" i="1"/>
  <c r="I150" i="1"/>
  <c r="H150" i="1"/>
  <c r="A150" i="1"/>
  <c r="N148" i="1"/>
  <c r="M148" i="1"/>
  <c r="L148" i="1"/>
  <c r="J148" i="1"/>
  <c r="I148" i="1"/>
  <c r="H148" i="1"/>
  <c r="A148" i="1"/>
  <c r="N146" i="1"/>
  <c r="M146" i="1"/>
  <c r="L146" i="1"/>
  <c r="J146" i="1"/>
  <c r="I146" i="1"/>
  <c r="H146" i="1"/>
  <c r="A146" i="1"/>
  <c r="N143" i="1"/>
  <c r="M143" i="1"/>
  <c r="L143" i="1"/>
  <c r="J143" i="1"/>
  <c r="I143" i="1"/>
  <c r="H143" i="1"/>
  <c r="A143" i="1"/>
  <c r="N141" i="1"/>
  <c r="M141" i="1"/>
  <c r="L141" i="1"/>
  <c r="J141" i="1"/>
  <c r="I141" i="1"/>
  <c r="H141" i="1"/>
  <c r="A141" i="1"/>
  <c r="N139" i="1"/>
  <c r="M139" i="1"/>
  <c r="L139" i="1"/>
  <c r="J139" i="1"/>
  <c r="I139" i="1"/>
  <c r="H139" i="1"/>
  <c r="A139" i="1"/>
  <c r="N137" i="1"/>
  <c r="M137" i="1"/>
  <c r="L137" i="1"/>
  <c r="J137" i="1"/>
  <c r="I137" i="1"/>
  <c r="H137" i="1"/>
  <c r="A137" i="1"/>
  <c r="N135" i="1"/>
  <c r="M135" i="1"/>
  <c r="L135" i="1"/>
  <c r="J135" i="1"/>
  <c r="I135" i="1"/>
  <c r="H135" i="1"/>
  <c r="A135" i="1"/>
  <c r="N133" i="1"/>
  <c r="M133" i="1"/>
  <c r="L133" i="1"/>
  <c r="J133" i="1"/>
  <c r="I133" i="1"/>
  <c r="H133" i="1"/>
  <c r="A133" i="1"/>
  <c r="N131" i="1"/>
  <c r="M131" i="1"/>
  <c r="L131" i="1"/>
  <c r="J131" i="1"/>
  <c r="I131" i="1"/>
  <c r="H131" i="1"/>
  <c r="A131" i="1"/>
  <c r="N129" i="1"/>
  <c r="M129" i="1"/>
  <c r="L129" i="1"/>
  <c r="J129" i="1"/>
  <c r="I129" i="1"/>
  <c r="H129" i="1"/>
  <c r="A129" i="1"/>
  <c r="N127" i="1"/>
  <c r="M127" i="1"/>
  <c r="L127" i="1"/>
  <c r="J127" i="1"/>
  <c r="I127" i="1"/>
  <c r="H127" i="1"/>
  <c r="A127" i="1"/>
  <c r="N125" i="1"/>
  <c r="M125" i="1"/>
  <c r="L125" i="1"/>
  <c r="J125" i="1"/>
  <c r="I125" i="1"/>
  <c r="H125" i="1"/>
  <c r="A125" i="1"/>
  <c r="N123" i="1"/>
  <c r="M123" i="1"/>
  <c r="L123" i="1"/>
  <c r="J123" i="1"/>
  <c r="I123" i="1"/>
  <c r="H123" i="1"/>
  <c r="A123" i="1"/>
  <c r="N121" i="1"/>
  <c r="M121" i="1"/>
  <c r="L121" i="1"/>
  <c r="J121" i="1"/>
  <c r="I121" i="1"/>
  <c r="H121" i="1"/>
  <c r="A121" i="1"/>
  <c r="N119" i="1"/>
  <c r="M119" i="1"/>
  <c r="L119" i="1"/>
  <c r="J119" i="1"/>
  <c r="I119" i="1"/>
  <c r="H119" i="1"/>
  <c r="A119" i="1"/>
  <c r="N117" i="1"/>
  <c r="M117" i="1"/>
  <c r="L117" i="1"/>
  <c r="J117" i="1"/>
  <c r="I117" i="1"/>
  <c r="H117" i="1"/>
  <c r="A117" i="1"/>
  <c r="N115" i="1"/>
  <c r="M115" i="1"/>
  <c r="L115" i="1"/>
  <c r="J115" i="1"/>
  <c r="I115" i="1"/>
  <c r="H115" i="1"/>
  <c r="A115" i="1"/>
  <c r="N113" i="1"/>
  <c r="M113" i="1"/>
  <c r="L113" i="1"/>
  <c r="J113" i="1"/>
  <c r="I113" i="1"/>
  <c r="H113" i="1"/>
  <c r="A113" i="1"/>
  <c r="N111" i="1"/>
  <c r="M111" i="1"/>
  <c r="L111" i="1"/>
  <c r="J111" i="1"/>
  <c r="I111" i="1"/>
  <c r="H111" i="1"/>
  <c r="A111" i="1"/>
  <c r="N109" i="1"/>
  <c r="M109" i="1"/>
  <c r="L109" i="1"/>
  <c r="J109" i="1"/>
  <c r="I109" i="1"/>
  <c r="H109" i="1"/>
  <c r="A109" i="1"/>
  <c r="N108" i="1"/>
  <c r="M108" i="1"/>
  <c r="L108" i="1"/>
  <c r="J108" i="1"/>
  <c r="I108" i="1"/>
  <c r="H108" i="1"/>
  <c r="A108" i="1"/>
  <c r="N104" i="1"/>
  <c r="M104" i="1"/>
  <c r="L104" i="1"/>
  <c r="J104" i="1"/>
  <c r="I104" i="1"/>
  <c r="H104" i="1"/>
  <c r="A104" i="1"/>
  <c r="N102" i="1"/>
  <c r="M102" i="1"/>
  <c r="L102" i="1"/>
  <c r="J102" i="1"/>
  <c r="I102" i="1"/>
  <c r="H102" i="1"/>
  <c r="A102" i="1"/>
  <c r="N100" i="1"/>
  <c r="M100" i="1"/>
  <c r="L100" i="1"/>
  <c r="J100" i="1"/>
  <c r="I100" i="1"/>
  <c r="H100" i="1"/>
  <c r="A100" i="1"/>
  <c r="N98" i="1"/>
  <c r="M98" i="1"/>
  <c r="L98" i="1"/>
  <c r="J98" i="1"/>
  <c r="I98" i="1"/>
  <c r="H98" i="1"/>
  <c r="A98" i="1"/>
  <c r="N96" i="1"/>
  <c r="M96" i="1"/>
  <c r="L96" i="1"/>
  <c r="J96" i="1"/>
  <c r="I96" i="1"/>
  <c r="H96" i="1"/>
  <c r="A96" i="1"/>
  <c r="N94" i="1"/>
  <c r="M94" i="1"/>
  <c r="L94" i="1"/>
  <c r="J94" i="1"/>
  <c r="I94" i="1"/>
  <c r="H94" i="1"/>
  <c r="A94" i="1"/>
  <c r="N92" i="1"/>
  <c r="M92" i="1"/>
  <c r="L92" i="1"/>
  <c r="J92" i="1"/>
  <c r="I92" i="1"/>
  <c r="H92" i="1"/>
  <c r="A92" i="1"/>
  <c r="N86" i="1"/>
  <c r="M86" i="1"/>
  <c r="L86" i="1"/>
  <c r="J86" i="1"/>
  <c r="I86" i="1"/>
  <c r="H86" i="1"/>
  <c r="A86" i="1"/>
  <c r="N90" i="1"/>
  <c r="M90" i="1"/>
  <c r="L90" i="1"/>
  <c r="J90" i="1"/>
  <c r="I90" i="1"/>
  <c r="H90" i="1"/>
  <c r="A90" i="1"/>
  <c r="N88" i="1"/>
  <c r="M88" i="1"/>
  <c r="L88" i="1"/>
  <c r="J88" i="1"/>
  <c r="I88" i="1"/>
  <c r="H88" i="1"/>
  <c r="A88" i="1"/>
  <c r="N84" i="1"/>
  <c r="M84" i="1"/>
  <c r="L84" i="1"/>
  <c r="J84" i="1"/>
  <c r="I84" i="1"/>
  <c r="H84" i="1"/>
  <c r="A84" i="1"/>
  <c r="N82" i="1"/>
  <c r="M82" i="1"/>
  <c r="L82" i="1"/>
  <c r="J82" i="1"/>
  <c r="I82" i="1"/>
  <c r="H82" i="1"/>
  <c r="A82" i="1"/>
  <c r="N80" i="1"/>
  <c r="M80" i="1"/>
  <c r="L80" i="1"/>
  <c r="J80" i="1"/>
  <c r="I80" i="1"/>
  <c r="H80" i="1"/>
  <c r="A80" i="1"/>
  <c r="N78" i="1"/>
  <c r="M78" i="1"/>
  <c r="L78" i="1"/>
  <c r="J78" i="1"/>
  <c r="I78" i="1"/>
  <c r="H78" i="1"/>
  <c r="A78" i="1"/>
  <c r="N76" i="1"/>
  <c r="M76" i="1"/>
  <c r="L76" i="1"/>
  <c r="J76" i="1"/>
  <c r="I76" i="1"/>
  <c r="H76" i="1"/>
  <c r="A76" i="1"/>
  <c r="N74" i="1"/>
  <c r="M74" i="1"/>
  <c r="L74" i="1"/>
  <c r="J74" i="1"/>
  <c r="I74" i="1"/>
  <c r="H74" i="1"/>
  <c r="A74" i="1"/>
  <c r="N72" i="1"/>
  <c r="M72" i="1"/>
  <c r="L72" i="1"/>
  <c r="J72" i="1"/>
  <c r="I72" i="1"/>
  <c r="H72" i="1"/>
  <c r="A72" i="1"/>
  <c r="N70" i="1"/>
  <c r="M70" i="1"/>
  <c r="L70" i="1"/>
  <c r="J70" i="1"/>
  <c r="I70" i="1"/>
  <c r="H70" i="1"/>
  <c r="A70" i="1"/>
  <c r="N68" i="1"/>
  <c r="M68" i="1"/>
  <c r="L68" i="1"/>
  <c r="J68" i="1"/>
  <c r="I68" i="1"/>
  <c r="H68" i="1"/>
  <c r="A68" i="1"/>
  <c r="N66" i="1"/>
  <c r="M66" i="1"/>
  <c r="L66" i="1"/>
  <c r="J66" i="1"/>
  <c r="I66" i="1"/>
  <c r="H66" i="1"/>
  <c r="A66" i="1"/>
  <c r="N64" i="1"/>
  <c r="M64" i="1"/>
  <c r="L64" i="1"/>
  <c r="J64" i="1"/>
  <c r="I64" i="1"/>
  <c r="H64" i="1"/>
  <c r="A64" i="1"/>
  <c r="N62" i="1"/>
  <c r="M62" i="1"/>
  <c r="L62" i="1"/>
  <c r="J62" i="1"/>
  <c r="I62" i="1"/>
  <c r="H62" i="1"/>
  <c r="A62" i="1"/>
  <c r="N60" i="1"/>
  <c r="M60" i="1"/>
  <c r="L60" i="1"/>
  <c r="J60" i="1"/>
  <c r="I60" i="1"/>
  <c r="H60" i="1"/>
  <c r="A60" i="1"/>
  <c r="N58" i="1"/>
  <c r="M58" i="1"/>
  <c r="L58" i="1"/>
  <c r="J58" i="1"/>
  <c r="I58" i="1"/>
  <c r="H58" i="1"/>
  <c r="A58" i="1"/>
  <c r="N56" i="1"/>
  <c r="M56" i="1"/>
  <c r="L56" i="1"/>
  <c r="J56" i="1"/>
  <c r="I56" i="1"/>
  <c r="H56" i="1"/>
  <c r="A56" i="1"/>
  <c r="N54" i="1"/>
  <c r="M54" i="1"/>
  <c r="L54" i="1"/>
  <c r="J54" i="1"/>
  <c r="I54" i="1"/>
  <c r="H54" i="1"/>
  <c r="A54" i="1"/>
  <c r="N52" i="1"/>
  <c r="M52" i="1"/>
  <c r="L52" i="1"/>
  <c r="J52" i="1"/>
  <c r="I52" i="1"/>
  <c r="H52" i="1"/>
  <c r="A52" i="1"/>
  <c r="N50" i="1"/>
  <c r="M50" i="1"/>
  <c r="L50" i="1"/>
  <c r="J50" i="1"/>
  <c r="I50" i="1"/>
  <c r="H50" i="1"/>
  <c r="A50" i="1"/>
  <c r="N48" i="1"/>
  <c r="M48" i="1"/>
  <c r="L48" i="1"/>
  <c r="J48" i="1"/>
  <c r="I48" i="1"/>
  <c r="H48" i="1"/>
  <c r="A48" i="1"/>
  <c r="N46" i="1"/>
  <c r="M46" i="1"/>
  <c r="L46" i="1"/>
  <c r="J46" i="1"/>
  <c r="I46" i="1"/>
  <c r="H46" i="1"/>
  <c r="A46" i="1"/>
  <c r="N44" i="1"/>
  <c r="M44" i="1"/>
  <c r="L44" i="1"/>
  <c r="J44" i="1"/>
  <c r="I44" i="1"/>
  <c r="H44" i="1"/>
  <c r="A44" i="1"/>
  <c r="N42" i="1"/>
  <c r="M42" i="1"/>
  <c r="L42" i="1"/>
  <c r="J42" i="1"/>
  <c r="I42" i="1"/>
  <c r="H42" i="1"/>
  <c r="A42" i="1"/>
  <c r="N40" i="1"/>
  <c r="M40" i="1"/>
  <c r="L40" i="1"/>
  <c r="J40" i="1"/>
  <c r="I40" i="1"/>
  <c r="H40" i="1"/>
  <c r="A40" i="1"/>
  <c r="N38" i="1"/>
  <c r="M38" i="1"/>
  <c r="L38" i="1"/>
  <c r="J38" i="1"/>
  <c r="I38" i="1"/>
  <c r="H38" i="1"/>
  <c r="A38" i="1"/>
  <c r="N36" i="1"/>
  <c r="M36" i="1"/>
  <c r="L36" i="1"/>
  <c r="J36" i="1"/>
  <c r="I36" i="1"/>
  <c r="H36" i="1"/>
  <c r="A36" i="1"/>
  <c r="N34" i="1"/>
  <c r="M34" i="1"/>
  <c r="L34" i="1"/>
  <c r="J34" i="1"/>
  <c r="I34" i="1"/>
  <c r="H34" i="1"/>
  <c r="A34" i="1"/>
  <c r="N32" i="1"/>
  <c r="M32" i="1"/>
  <c r="L32" i="1"/>
  <c r="J32" i="1"/>
  <c r="I32" i="1"/>
  <c r="H32" i="1"/>
  <c r="A32" i="1"/>
  <c r="N30" i="1"/>
  <c r="M30" i="1"/>
  <c r="L30" i="1"/>
  <c r="J30" i="1"/>
  <c r="I30" i="1"/>
  <c r="H30" i="1"/>
  <c r="A30" i="1"/>
  <c r="N28" i="1"/>
  <c r="M28" i="1"/>
  <c r="L28" i="1"/>
  <c r="J28" i="1"/>
  <c r="I28" i="1"/>
  <c r="H28" i="1"/>
  <c r="A28" i="1"/>
  <c r="N26" i="1"/>
  <c r="M26" i="1"/>
  <c r="L26" i="1"/>
  <c r="J26" i="1"/>
  <c r="I26" i="1"/>
  <c r="H26" i="1"/>
  <c r="A26" i="1"/>
  <c r="N24" i="1"/>
  <c r="M24" i="1"/>
  <c r="L24" i="1"/>
  <c r="J24" i="1"/>
  <c r="I24" i="1"/>
  <c r="H24" i="1"/>
  <c r="A24" i="1"/>
  <c r="N22" i="1"/>
  <c r="M22" i="1"/>
  <c r="L22" i="1"/>
  <c r="J22" i="1"/>
  <c r="I22" i="1"/>
  <c r="H22" i="1"/>
  <c r="A22" i="1"/>
  <c r="N18" i="1"/>
  <c r="M18" i="1"/>
  <c r="L18" i="1"/>
  <c r="J18" i="1"/>
  <c r="I18" i="1"/>
  <c r="H18" i="1"/>
  <c r="A18" i="1"/>
  <c r="N20" i="1"/>
  <c r="M20" i="1"/>
  <c r="L20" i="1"/>
  <c r="J20" i="1"/>
  <c r="I20" i="1"/>
  <c r="H20" i="1"/>
  <c r="A20" i="1"/>
  <c r="N16" i="1"/>
  <c r="M16" i="1"/>
  <c r="L16" i="1"/>
  <c r="J16" i="1"/>
  <c r="I16" i="1"/>
  <c r="H16" i="1"/>
  <c r="A16" i="1"/>
  <c r="N14" i="1"/>
  <c r="M14" i="1"/>
  <c r="L14" i="1"/>
  <c r="J14" i="1"/>
  <c r="I14" i="1"/>
  <c r="H14" i="1"/>
  <c r="A14" i="1"/>
  <c r="N12" i="1"/>
  <c r="M12" i="1"/>
  <c r="L12" i="1"/>
  <c r="J12" i="1"/>
  <c r="I12" i="1"/>
  <c r="H12" i="1"/>
  <c r="A12" i="1"/>
  <c r="N10" i="1"/>
  <c r="M10" i="1"/>
  <c r="L10" i="1"/>
  <c r="J10" i="1"/>
  <c r="I10" i="1"/>
  <c r="H10" i="1"/>
  <c r="A10" i="1"/>
  <c r="N8" i="1"/>
  <c r="M8" i="1"/>
  <c r="L8" i="1"/>
  <c r="J8" i="1"/>
  <c r="I8" i="1"/>
  <c r="H8" i="1"/>
  <c r="A8" i="1"/>
  <c r="N6" i="1"/>
  <c r="M6" i="1"/>
  <c r="L6" i="1"/>
  <c r="J6" i="1"/>
  <c r="I6" i="1"/>
  <c r="H6" i="1"/>
  <c r="A6" i="1"/>
  <c r="N4" i="1"/>
  <c r="M4" i="1"/>
  <c r="L4" i="1"/>
  <c r="J4" i="1"/>
  <c r="I4" i="1"/>
  <c r="H4" i="1"/>
  <c r="A4" i="1"/>
  <c r="N2" i="1"/>
  <c r="M2" i="1"/>
  <c r="L2" i="1"/>
  <c r="J2" i="1"/>
  <c r="I2" i="1"/>
  <c r="H2" i="1"/>
  <c r="A2" i="1"/>
</calcChain>
</file>

<file path=xl/sharedStrings.xml><?xml version="1.0" encoding="utf-8"?>
<sst xmlns="http://schemas.openxmlformats.org/spreadsheetml/2006/main" count="1315" uniqueCount="418">
  <si>
    <t>Tabela CEST</t>
  </si>
  <si>
    <t>ITEM</t>
  </si>
  <si>
    <t>CEST</t>
  </si>
  <si>
    <t>NCM/SH</t>
  </si>
  <si>
    <t>Vigência inicial</t>
  </si>
  <si>
    <t>Vigência final</t>
  </si>
  <si>
    <t>MVA Original  S/Fid</t>
  </si>
  <si>
    <t>MVA S/Fid Aliq 4%</t>
  </si>
  <si>
    <t>MVA S/Fid Aliq 7%</t>
  </si>
  <si>
    <t>MVA S/Fid Aliq 12%</t>
  </si>
  <si>
    <t>MVA Original C/Fid</t>
  </si>
  <si>
    <t>MVA C/Fid Aliq 4%</t>
  </si>
  <si>
    <t>MVA C/Fid Aliq 7%</t>
  </si>
  <si>
    <t>MVA C/Fid Aliq 12%</t>
  </si>
  <si>
    <t>Aliq Interna</t>
  </si>
  <si>
    <t>Funcep</t>
  </si>
  <si>
    <t>Pauta Fiscal</t>
  </si>
  <si>
    <t>DESCRIÇÃO</t>
  </si>
  <si>
    <t>Legislação</t>
  </si>
  <si>
    <t>1.0</t>
  </si>
  <si>
    <t>01.001.00</t>
  </si>
  <si>
    <t>Catalisadores em colmeia cerâmica ou metálica para conversão catalítica de gases de escape de veículos e outros catalisadores</t>
  </si>
  <si>
    <t>DECRETO ICMS/PB Nº 39.158</t>
  </si>
  <si>
    <t>2.0</t>
  </si>
  <si>
    <t>01.002.00</t>
  </si>
  <si>
    <t>Tubos e seus acessórios (por exemplo, juntas, cotovelos, flanges, uniões), de plásticos</t>
  </si>
  <si>
    <t>3.0</t>
  </si>
  <si>
    <t>01.003.00</t>
  </si>
  <si>
    <t>Protetores de caçamba</t>
  </si>
  <si>
    <t>4.0</t>
  </si>
  <si>
    <t>01.004.00</t>
  </si>
  <si>
    <t>Reservatórios de óleo</t>
  </si>
  <si>
    <t>5.0</t>
  </si>
  <si>
    <t>01.005.00</t>
  </si>
  <si>
    <t>Frisos, decalques, molduras e acabamentos</t>
  </si>
  <si>
    <t>6.0</t>
  </si>
  <si>
    <t>01.006.00</t>
  </si>
  <si>
    <t>Correias de transmissão de borracha vulcanizada, de matérias têxteis, mesmo impregnadas, revestidas ou recobertas, de plástico, ou estratificadas com plástico ou reforçadas com metal ou com outras matérias</t>
  </si>
  <si>
    <t>7.0</t>
  </si>
  <si>
    <t>01.007.00</t>
  </si>
  <si>
    <t>Juntas, gaxetas e outros elementos com função semelhante de vedação</t>
  </si>
  <si>
    <t>8.0</t>
  </si>
  <si>
    <t>01.008.00</t>
  </si>
  <si>
    <t>Partes de veículos automóveis, tratores e máquinas autopropulsadas</t>
  </si>
  <si>
    <t>9.0</t>
  </si>
  <si>
    <t>01.009.00</t>
  </si>
  <si>
    <t>Tapetes, revestimentos, mesmo confeccionados, batentes, buchas e coxins</t>
  </si>
  <si>
    <t>10.0</t>
  </si>
  <si>
    <t>01.010.00</t>
  </si>
  <si>
    <t>Tecidos impregnados, revestidos, recobertos ou estratificados, com plástico</t>
  </si>
  <si>
    <t>11.0</t>
  </si>
  <si>
    <t>01.011.00</t>
  </si>
  <si>
    <t>Mangueiras e tubos semelhantes, de matérias têxteis, mesmo com reforço ou acessórios de outras matérias</t>
  </si>
  <si>
    <t>12.0</t>
  </si>
  <si>
    <t>01.012.00</t>
  </si>
  <si>
    <t>Encerados e toldos</t>
  </si>
  <si>
    <t>13.0</t>
  </si>
  <si>
    <t>01.013.00</t>
  </si>
  <si>
    <t>Capacetes e artefatos de uso semelhante, de proteção, para uso em motocicletas, incluídos ciclomotores</t>
  </si>
  <si>
    <t>14.0</t>
  </si>
  <si>
    <t>01.014.00</t>
  </si>
  <si>
    <t>Guarnições de fricção (por exemplo, placas, rolos, tiras, segmentos, discos, anéis, pastilhas), não montadas, para freios, embreagens ou qualquer outro mecanismo de fricção, à base de amianto, de outras substâncias minerais ou de celulose, mesmo combinadas com têxteis ou outras matérias</t>
  </si>
  <si>
    <t>15.0</t>
  </si>
  <si>
    <t>01.015.00</t>
  </si>
  <si>
    <t>Vidros de dimensões e formatos que permitam aplicação automotiva</t>
  </si>
  <si>
    <t>16.0</t>
  </si>
  <si>
    <t>01.016.00</t>
  </si>
  <si>
    <t>Espelhos retrovisores</t>
  </si>
  <si>
    <t>17.0</t>
  </si>
  <si>
    <t>01.017.00</t>
  </si>
  <si>
    <t>Lentes de faróis, lanternas e outros utensílios</t>
  </si>
  <si>
    <t>18.0</t>
  </si>
  <si>
    <t>01.018.00</t>
  </si>
  <si>
    <t>Cilindro de aço para GNV (gás natural veicular)</t>
  </si>
  <si>
    <t>19.0</t>
  </si>
  <si>
    <t>01.019.00</t>
  </si>
  <si>
    <t>Recipientes para gases comprimidos ou liquefeitos, de ferro fundido, ferro ou aço, exceto o descrito no item 18.0</t>
  </si>
  <si>
    <t>20.0</t>
  </si>
  <si>
    <t>01.020.00</t>
  </si>
  <si>
    <t>Molas e folhas de molas, de ferro ou aço</t>
  </si>
  <si>
    <t>21.0</t>
  </si>
  <si>
    <t>01.021.00</t>
  </si>
  <si>
    <t>Obras moldadas, de ferro fundido, ferro ou aço, exceto as do código 7325.91.00</t>
  </si>
  <si>
    <t>22.0</t>
  </si>
  <si>
    <t>01.022.00</t>
  </si>
  <si>
    <t>Peso de chumbo para balanceamento de roda</t>
  </si>
  <si>
    <t>23.0</t>
  </si>
  <si>
    <t>01.023.00</t>
  </si>
  <si>
    <t>Peso para balanceamento de roda e outros utensílios de estanho</t>
  </si>
  <si>
    <t>24.0</t>
  </si>
  <si>
    <t>01.024.00</t>
  </si>
  <si>
    <t>Fechaduras e partes de fechaduras</t>
  </si>
  <si>
    <t>25.0</t>
  </si>
  <si>
    <t>01.025.00</t>
  </si>
  <si>
    <t>Chaves apresentadas isoladamente</t>
  </si>
  <si>
    <t>26.0</t>
  </si>
  <si>
    <t>01.026.00</t>
  </si>
  <si>
    <t>Dobradiças, guarnições, ferragens e artigos semelhantes de metais comuns</t>
  </si>
  <si>
    <t>27.0</t>
  </si>
  <si>
    <t>01.027.00</t>
  </si>
  <si>
    <t>Triângulo de segurança</t>
  </si>
  <si>
    <t>28.0</t>
  </si>
  <si>
    <t>01.028.00</t>
  </si>
  <si>
    <t>Motores de pistão alternativo dos tipos utilizados para propulsão de veículos do Capítulo 87</t>
  </si>
  <si>
    <t>29.0</t>
  </si>
  <si>
    <t>01.029.00</t>
  </si>
  <si>
    <t>Motores dos tipos utilizados para propulsão de veículos automotores</t>
  </si>
  <si>
    <t>30.0</t>
  </si>
  <si>
    <t>01.030.00</t>
  </si>
  <si>
    <t>Partes reconhecíveis como exclusiva ou principalmente destinadas aos motores das posições 8407 ou 8408</t>
  </si>
  <si>
    <t>31.0</t>
  </si>
  <si>
    <t>01.031.00</t>
  </si>
  <si>
    <t>Motores hidráulicos</t>
  </si>
  <si>
    <t>32.0</t>
  </si>
  <si>
    <t>01.032.00</t>
  </si>
  <si>
    <t>Bombas para combustíveis, lubrificantes ou líquidos de arrefecimento, próprias para motores de ignição por centelha ou por compressão</t>
  </si>
  <si>
    <t>33.0</t>
  </si>
  <si>
    <t>01.033.00</t>
  </si>
  <si>
    <t>Bombas de vácuo</t>
  </si>
  <si>
    <t>34.0</t>
  </si>
  <si>
    <t>01.034.00</t>
  </si>
  <si>
    <t>Compressores e turbocompressores de ar</t>
  </si>
  <si>
    <t>35.0</t>
  </si>
  <si>
    <t>01.035.00</t>
  </si>
  <si>
    <t>Partes das bombas, compressores e turbocompressores dos CEST 01.032.00, 01.033.00 e 01.034.00</t>
  </si>
  <si>
    <t>36.0</t>
  </si>
  <si>
    <t>01.036.00</t>
  </si>
  <si>
    <t>Máquinas e aparelhos de ar condicionado</t>
  </si>
  <si>
    <t>37.0</t>
  </si>
  <si>
    <t>01.037.00</t>
  </si>
  <si>
    <t>Aparelhos para filtrar óleos minerais nos motores de ignição por centelha ou por compressão</t>
  </si>
  <si>
    <t>38.0</t>
  </si>
  <si>
    <t>01.038.00</t>
  </si>
  <si>
    <t>Filtros a vácuo</t>
  </si>
  <si>
    <t>39.0</t>
  </si>
  <si>
    <t>01.039.00</t>
  </si>
  <si>
    <t>Partes dos aparelhos para filtrar ou depurar líquidos ou gases</t>
  </si>
  <si>
    <t>40.0</t>
  </si>
  <si>
    <t>01.040.00</t>
  </si>
  <si>
    <t>Extintores, mesmo carregados</t>
  </si>
  <si>
    <t>41.0</t>
  </si>
  <si>
    <t>01.041.00</t>
  </si>
  <si>
    <t>Filtros de entrada de ar para motores de ignição por centelha ou por compressão</t>
  </si>
  <si>
    <t>42.0</t>
  </si>
  <si>
    <t>01.042.00</t>
  </si>
  <si>
    <t>Depuradores por conversão catalítica de gases de escape</t>
  </si>
  <si>
    <t>43.0</t>
  </si>
  <si>
    <t>01.043.00</t>
  </si>
  <si>
    <t>Macacos</t>
  </si>
  <si>
    <t>44.0</t>
  </si>
  <si>
    <t>01.044.00</t>
  </si>
  <si>
    <t>Partes para macacos do CEST 01.043.00</t>
  </si>
  <si>
    <t>45.0</t>
  </si>
  <si>
    <t>01.045.00</t>
  </si>
  <si>
    <t>Partes reconhecíveis como exclusiva ou principalmente destinadas às máquinas agrícolas ou rodoviárias</t>
  </si>
  <si>
    <t>45.1</t>
  </si>
  <si>
    <t>01.045.01</t>
  </si>
  <si>
    <t>46.0</t>
  </si>
  <si>
    <t>01.046.00</t>
  </si>
  <si>
    <t>Válvulas redutoras de pressão</t>
  </si>
  <si>
    <t>47.0</t>
  </si>
  <si>
    <t>01.047.00</t>
  </si>
  <si>
    <t>Válvulas para transmissão óleo-hidráulicas ou pneumáticas</t>
  </si>
  <si>
    <t>48.0</t>
  </si>
  <si>
    <t>01.048.00</t>
  </si>
  <si>
    <t>Válvulas solenoides</t>
  </si>
  <si>
    <t>49.0</t>
  </si>
  <si>
    <t>01.049.00</t>
  </si>
  <si>
    <t>Rolamentos</t>
  </si>
  <si>
    <t>50.0</t>
  </si>
  <si>
    <t>01.050.00</t>
  </si>
  <si>
    <t>Árvores de transmissão (incluídas as árvores de “cames” e virabrequins) e manivelas; mancais e “bronzes”; engrenagens e rodas de fricção; eixos de esferas ou de roletes; redutores, multiplicadores, caixas de transmissão e variadores de velocidade, incluídos os conversores de torque; volantes e polias, incluídas as polias para cadernais; embreagens e dispositivos de acoplamento, incluídas as juntas de articulação</t>
  </si>
  <si>
    <t>51.0</t>
  </si>
  <si>
    <t>01.051.00</t>
  </si>
  <si>
    <t>Juntas metaloplásticas; jogos ou sortidos de juntas de composições diferentes, apresentados em bolsas, envelopes ou embalagens semelhantes; juntas de vedação mecânicas (selos mecânicos)</t>
  </si>
  <si>
    <t>52.0</t>
  </si>
  <si>
    <t>01.052.00</t>
  </si>
  <si>
    <t>Acoplamentos, embreagens, variadores de velocidade e freios, eletromagnéticos</t>
  </si>
  <si>
    <t>53.0</t>
  </si>
  <si>
    <t>01.053.00</t>
  </si>
  <si>
    <t>Acumuladores elétricos de chumbo, do tipo utilizado para o arranque dos motores de pistão, exceto os classificados no CEST 01.053.01</t>
  </si>
  <si>
    <t>53.1</t>
  </si>
  <si>
    <t>01.053.01</t>
  </si>
  <si>
    <t>Acumuladores elétricos de chumbo, do tipo utilizado para o arranque dos motores de pistão e de capacidade inferior ou igual a 20 Ah e tensão inferior ou igual a 12 V</t>
  </si>
  <si>
    <t>54.0</t>
  </si>
  <si>
    <t>01.054.00</t>
  </si>
  <si>
    <t>Aparelhos e dispositivos elétricos de ignição ou de arranque para motores de ignição por centelha ou por compressão (por exemplo, magnetos, dínamos-magnetos, bobinas de ignição, velas de ignição ou de aquecimento, motores de arranque); geradores (dínamos e alternadores, por exemplo) e conjuntores-disjuntores utilizados com estes motores</t>
  </si>
  <si>
    <t>55.0</t>
  </si>
  <si>
    <t>01.055.00</t>
  </si>
  <si>
    <t>Aparelhos elétricos de iluminação ou de sinalização (exceto os da posição 8539), limpadores de para-brisas, degeladores e desembaçadores (desembaciadores) elétricos e suas partes</t>
  </si>
  <si>
    <t>56.0</t>
  </si>
  <si>
    <t>01.056.00</t>
  </si>
  <si>
    <t>Telefones móveis do tipo dos utilizados em veículos automóveis.</t>
  </si>
  <si>
    <t>57.0</t>
  </si>
  <si>
    <t>01.057.00</t>
  </si>
  <si>
    <t>Alto-falantes, amplificadores elétricos de audiofrequência e partes</t>
  </si>
  <si>
    <t>58.0</t>
  </si>
  <si>
    <t>01.058.00</t>
  </si>
  <si>
    <t>Aparelhos elétricos de amplificação de som para veículos automotores</t>
  </si>
  <si>
    <t>59.0</t>
  </si>
  <si>
    <t>01.059.00</t>
  </si>
  <si>
    <t>Aparelhos de reprodução de som</t>
  </si>
  <si>
    <t>60.0</t>
  </si>
  <si>
    <t>01.060.00</t>
  </si>
  <si>
    <t>Aparelhos transmissores (emissores) de radiotelefonia ou radiotelegrafia (rádio receptor/transmissor)</t>
  </si>
  <si>
    <t>61.0</t>
  </si>
  <si>
    <t>01.061.00</t>
  </si>
  <si>
    <t>Aparelhos receptores de radiodifusão que só funcionem com fonte externa de energia combinados com um aparelho de gravação ou de reprodução de som, do tipo utilizado em veículos automóveis</t>
  </si>
  <si>
    <t>62.0</t>
  </si>
  <si>
    <t>01.062.00</t>
  </si>
  <si>
    <t>Outros aparelhos receptores de radiodifusão que só funcionem com fonte externa de energia, do tipo utilizado em veículos automóveis</t>
  </si>
  <si>
    <t>62.1</t>
  </si>
  <si>
    <t>01.062.01</t>
  </si>
  <si>
    <t>Outros aparelhos videofônicos de gravação ou de reprodução, mesmo incorporando um receptor de sinais videofônicos, dos tipos utilizados exclusivamente em veículos automotores</t>
  </si>
  <si>
    <t>63.0</t>
  </si>
  <si>
    <t>01.063.00</t>
  </si>
  <si>
    <t>Antenas</t>
  </si>
  <si>
    <t>64.0</t>
  </si>
  <si>
    <t>01.064.00</t>
  </si>
  <si>
    <t>Circuitos impressos</t>
  </si>
  <si>
    <t>65.0</t>
  </si>
  <si>
    <t>01.065.00</t>
  </si>
  <si>
    <t>Interruptores e seccionadores e comutadores</t>
  </si>
  <si>
    <t>66.0</t>
  </si>
  <si>
    <t>01.066.00</t>
  </si>
  <si>
    <t>Fusíveis e corta-circuitos de fusíveis</t>
  </si>
  <si>
    <t>67.0</t>
  </si>
  <si>
    <t>01.067.00</t>
  </si>
  <si>
    <t>Disjuntores</t>
  </si>
  <si>
    <t>68.0</t>
  </si>
  <si>
    <t>01.068.00</t>
  </si>
  <si>
    <t>Relés</t>
  </si>
  <si>
    <t>69.0</t>
  </si>
  <si>
    <t>01.069.00</t>
  </si>
  <si>
    <t>Partes reconhecíveis como exclusivas ou principalmente destinados aos aparelhos dos CEST 01.065.00, 01.066.00, 01.067.00 e 01.068.00</t>
  </si>
  <si>
    <t>70.0</t>
  </si>
  <si>
    <t>01.070.00</t>
  </si>
  <si>
    <t>Faróis e projetores, em unidades seladas</t>
  </si>
  <si>
    <t>71.0</t>
  </si>
  <si>
    <t>01.071.00</t>
  </si>
  <si>
    <t>Lâmpadas e tubos de incandescência, exceto de raios ultravioleta ou infravermelhos</t>
  </si>
  <si>
    <t>72.0</t>
  </si>
  <si>
    <t>01.072.00</t>
  </si>
  <si>
    <t>Cabos coaxiais e outros condutores elétricos coaxiais</t>
  </si>
  <si>
    <t>73.0</t>
  </si>
  <si>
    <t>01.073.00</t>
  </si>
  <si>
    <t>Jogos de fios para velas de ignição e outros jogos de fios</t>
  </si>
  <si>
    <t>74.0</t>
  </si>
  <si>
    <t>01.074.00</t>
  </si>
  <si>
    <t>Carroçarias para os veículos automóveis das posições 8701 a 8705, incluídas as cabinas</t>
  </si>
  <si>
    <t>75.0</t>
  </si>
  <si>
    <t>01.075.00</t>
  </si>
  <si>
    <t>Partes e acessórios dos veículos automóveis das posições 8701 a 8705</t>
  </si>
  <si>
    <t>76.0</t>
  </si>
  <si>
    <t>01.076.00</t>
  </si>
  <si>
    <t>Parte e acessórios de motocicletas (incluídos os ciclomotores)</t>
  </si>
  <si>
    <t>77.0</t>
  </si>
  <si>
    <t>01.077.00</t>
  </si>
  <si>
    <t>Engates para reboques e semirreboques</t>
  </si>
  <si>
    <t>78.0</t>
  </si>
  <si>
    <t>01.078.00</t>
  </si>
  <si>
    <t>Medidores de nível; Medidores de vazão</t>
  </si>
  <si>
    <t>79.0</t>
  </si>
  <si>
    <t>01.079.00</t>
  </si>
  <si>
    <t>Aparelhos para medida ou controle da pressão</t>
  </si>
  <si>
    <t>80.0</t>
  </si>
  <si>
    <t>01.080.00</t>
  </si>
  <si>
    <t>Contadores, indicadores de velocidade e tacômetros, suas partes e acessórios</t>
  </si>
  <si>
    <t>81.0</t>
  </si>
  <si>
    <t>01.081.00</t>
  </si>
  <si>
    <t>Amperímetros</t>
  </si>
  <si>
    <t>82.0</t>
  </si>
  <si>
    <t>01.082.00</t>
  </si>
  <si>
    <t>Aparelhos digitais, de uso em veículos automóveis, para medida e indicação de múltiplas grandezas tais como: velocidade média, consumos instantâneo e médio e autonomia (computador de bordo)</t>
  </si>
  <si>
    <t>83.0</t>
  </si>
  <si>
    <t>01.083.00</t>
  </si>
  <si>
    <t>Controladores eletrônicos</t>
  </si>
  <si>
    <t>84.0</t>
  </si>
  <si>
    <t>01.084.00</t>
  </si>
  <si>
    <t>Relógios para painéis de instrumentos e relógios semelhantes</t>
  </si>
  <si>
    <t>85.0</t>
  </si>
  <si>
    <t>01.085.00</t>
  </si>
  <si>
    <t>Assentos e partes de assentos</t>
  </si>
  <si>
    <t>86.0</t>
  </si>
  <si>
    <t>01.086.00</t>
  </si>
  <si>
    <t>Acendedores</t>
  </si>
  <si>
    <t>87.0</t>
  </si>
  <si>
    <t>01.087.00</t>
  </si>
  <si>
    <t>Tubos de borracha vulcanizada não endurecida, mesmo providos de seus acessórios</t>
  </si>
  <si>
    <t>88.0</t>
  </si>
  <si>
    <t>01.088.00</t>
  </si>
  <si>
    <t>Juntas de vedação de cortiça natural e de amianto</t>
  </si>
  <si>
    <t>89.0</t>
  </si>
  <si>
    <t>01.089.00</t>
  </si>
  <si>
    <t>Papel-diagrama para tacógrafo, em disco</t>
  </si>
  <si>
    <t>90.0</t>
  </si>
  <si>
    <t>01.090.00</t>
  </si>
  <si>
    <t>Fitas, tiras, adesivos, autocolantes, de plástico, refletores, mesmo em rolos; placas metálicas com película de plástico refletora, próprias para colocação em carrocerias, para-choques de veículos de carga, motocicletas, ciclomotores, capacetes, bonés de agentes de trânsito e de condutores de veículos, atuando como dispositivos refletivos de segurança rodoviários</t>
  </si>
  <si>
    <t>91.0</t>
  </si>
  <si>
    <t>01.091.00</t>
  </si>
  <si>
    <t>Cilindros pneumáticos</t>
  </si>
  <si>
    <t>92.0</t>
  </si>
  <si>
    <t>01.092.00</t>
  </si>
  <si>
    <t>Bomba elétrica de lavador de para-brisa</t>
  </si>
  <si>
    <t>93.0</t>
  </si>
  <si>
    <t>01.093.00</t>
  </si>
  <si>
    <t>Bomba de assistência de direção hidráulica</t>
  </si>
  <si>
    <t>94.0</t>
  </si>
  <si>
    <t>01.094.00</t>
  </si>
  <si>
    <t>Motoventiladores</t>
  </si>
  <si>
    <t>95.0</t>
  </si>
  <si>
    <t>01.095.00</t>
  </si>
  <si>
    <t>Filtros de pólen do ar-condicionado</t>
  </si>
  <si>
    <t>96.0</t>
  </si>
  <si>
    <t>01.096.00</t>
  </si>
  <si>
    <t>“Máquina” de vidro elétrico de porta</t>
  </si>
  <si>
    <t>97.0</t>
  </si>
  <si>
    <t>01.097.00</t>
  </si>
  <si>
    <t>Motor de limpador de para-brisa</t>
  </si>
  <si>
    <t>98.0</t>
  </si>
  <si>
    <t>01.098.00</t>
  </si>
  <si>
    <t>Bobinas de reatância e de autoindução</t>
  </si>
  <si>
    <t>99.0</t>
  </si>
  <si>
    <t>01.099.00</t>
  </si>
  <si>
    <t>Baterias de chumbo e de níquel-cádmio</t>
  </si>
  <si>
    <t>100.0</t>
  </si>
  <si>
    <t>01.100.00</t>
  </si>
  <si>
    <t>Aparelhos de sinalização acústica (buzina)</t>
  </si>
  <si>
    <t>101.0</t>
  </si>
  <si>
    <t>01.101.00</t>
  </si>
  <si>
    <t>Instrumentos para regulação de grandezas não elétricas</t>
  </si>
  <si>
    <t>102.0</t>
  </si>
  <si>
    <t>01.102.00</t>
  </si>
  <si>
    <t>Analisadores de gases ou de fumaça (sonda lambda)</t>
  </si>
  <si>
    <t>103.0</t>
  </si>
  <si>
    <t>01.103.00</t>
  </si>
  <si>
    <t>Perfilados de borracha vulcanizada não endurecida</t>
  </si>
  <si>
    <t>104.0</t>
  </si>
  <si>
    <t>01.104.00</t>
  </si>
  <si>
    <t>Artefatos de pasta de fibra de uso automotivo</t>
  </si>
  <si>
    <t>105.0</t>
  </si>
  <si>
    <t>01.105.00</t>
  </si>
  <si>
    <t>Tapetes/carpetes - nailón</t>
  </si>
  <si>
    <t>106.0</t>
  </si>
  <si>
    <t>01.106.00</t>
  </si>
  <si>
    <t>Tapetes de matérias têxteis sintéticas</t>
  </si>
  <si>
    <t>107.0</t>
  </si>
  <si>
    <t>01.107.00</t>
  </si>
  <si>
    <t>Forração interior capacete</t>
  </si>
  <si>
    <t>108.0</t>
  </si>
  <si>
    <t>01.108.00</t>
  </si>
  <si>
    <t>Outros para-brisas</t>
  </si>
  <si>
    <t>109.0</t>
  </si>
  <si>
    <t>01.109.00</t>
  </si>
  <si>
    <t>Moldura com espelho</t>
  </si>
  <si>
    <t>110.0</t>
  </si>
  <si>
    <t>01.110.00</t>
  </si>
  <si>
    <t>Corrente de transmissão</t>
  </si>
  <si>
    <t>111.0</t>
  </si>
  <si>
    <t>01.111.00</t>
  </si>
  <si>
    <t>Corrente transmissão</t>
  </si>
  <si>
    <t>112.0</t>
  </si>
  <si>
    <t>01.112.00</t>
  </si>
  <si>
    <t>Outras correntes de transmissão</t>
  </si>
  <si>
    <t>113.0</t>
  </si>
  <si>
    <t>01.113.00</t>
  </si>
  <si>
    <t>Condensador tubular metálico</t>
  </si>
  <si>
    <t>114.0</t>
  </si>
  <si>
    <t>01.114.00</t>
  </si>
  <si>
    <t>Trocadores de calor</t>
  </si>
  <si>
    <t>115.0</t>
  </si>
  <si>
    <t>01.115.00</t>
  </si>
  <si>
    <t>Partes de aparelhos mecânicos de pulverizar ou dispersar</t>
  </si>
  <si>
    <t>116.0</t>
  </si>
  <si>
    <t>01.116.00</t>
  </si>
  <si>
    <t>Macacos manuais para veículos</t>
  </si>
  <si>
    <t>117.0</t>
  </si>
  <si>
    <t>01.117.00</t>
  </si>
  <si>
    <t>Caçambas, pás, ganchos e tenazes para máquinas rodoviárias</t>
  </si>
  <si>
    <t>118.0</t>
  </si>
  <si>
    <t>01.118.00</t>
  </si>
  <si>
    <t>Geradores de corrente alternada de potência não superior a 75 kva</t>
  </si>
  <si>
    <t>119.0</t>
  </si>
  <si>
    <t>01.119.00</t>
  </si>
  <si>
    <t>Aparelhos elétricos para alarme de uso automotivo</t>
  </si>
  <si>
    <t>120.0</t>
  </si>
  <si>
    <t>01.120.00</t>
  </si>
  <si>
    <t>Bússolas</t>
  </si>
  <si>
    <t>121.0</t>
  </si>
  <si>
    <t>01.121.00</t>
  </si>
  <si>
    <t>Indicadores de temperatura</t>
  </si>
  <si>
    <t>122.0</t>
  </si>
  <si>
    <t>01.122.00</t>
  </si>
  <si>
    <t>Partes de indicadores de temperatura</t>
  </si>
  <si>
    <t>123.0</t>
  </si>
  <si>
    <t>01.123.00</t>
  </si>
  <si>
    <t>Partes de aparelhos de medida ou controle</t>
  </si>
  <si>
    <t>124.0</t>
  </si>
  <si>
    <t>01.124.00</t>
  </si>
  <si>
    <t>Termostatos</t>
  </si>
  <si>
    <t>125.0</t>
  </si>
  <si>
    <t>01.125.00</t>
  </si>
  <si>
    <t>Instrumentos e aparelhos para regulação</t>
  </si>
  <si>
    <t>126.0</t>
  </si>
  <si>
    <t>01.126.00</t>
  </si>
  <si>
    <t>Pressostatos</t>
  </si>
  <si>
    <t>127.0</t>
  </si>
  <si>
    <t>01.127.00</t>
  </si>
  <si>
    <t>Peças para reboques e semirreboques, exceto os itens classificados no CEST 01.077.00</t>
  </si>
  <si>
    <t>128.0</t>
  </si>
  <si>
    <t>01.128.00</t>
  </si>
  <si>
    <t>Geradores de ar quente a combustível líquido, com capacidade superior ou igual a 1.500 kcal/h, mas inferior ou igual a 10.400 kcal/h, do tipo dos utilizados em veículos automóveis</t>
  </si>
  <si>
    <t>999.0</t>
  </si>
  <si>
    <t>01.999.00</t>
  </si>
  <si>
    <t>Outras peças, partes e acessórios para veículos automotores não relacionados nos demais itens deste anexo</t>
  </si>
  <si>
    <t>DECRETO ICMS/PB Nº 39.158//DECRETO 43.079/2022</t>
  </si>
  <si>
    <t>DECRETO 43.079/2022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</si>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</sst>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alignment horizontal="center" vertical="center" wrapText="1"/>
    </xf>
    <xf numFmtId="9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Protection="1"/>
    <xf numFmtId="9" fontId="2" fillId="0" borderId="1" xfId="0" applyNumberFormat="1" applyFont="1" applyBorder="1" applyProtection="1"/>
    <xf numFmtId="10" fontId="2" fillId="0" borderId="1" xfId="0" applyNumberFormat="1" applyFont="1" applyBorder="1"/>
    <xf numFmtId="10" fontId="2" fillId="0" borderId="1" xfId="0" applyNumberFormat="1" applyFont="1" applyFill="1" applyBorder="1" applyProtection="1"/>
    <xf numFmtId="9" fontId="2" fillId="0" borderId="1" xfId="0" applyNumberFormat="1" applyFont="1" applyFill="1" applyBorder="1" applyProtection="1"/>
    <xf numFmtId="10" fontId="2" fillId="0" borderId="1" xfId="0" applyNumberFormat="1" applyFont="1" applyFill="1" applyBorder="1"/>
    <xf numFmtId="0" fontId="2" fillId="0" borderId="0" xfId="0" applyFont="1" applyProtection="1"/>
    <xf numFmtId="9" fontId="2" fillId="0" borderId="0" xfId="0" applyNumberFormat="1" applyFont="1" applyProtection="1"/>
    <xf numFmtId="0" fontId="2" fillId="0" borderId="0" xfId="0" applyFont="1"/>
    <xf numFmtId="10" fontId="2" fillId="3" borderId="1" xfId="0" applyNumberFormat="1" applyFont="1" applyFill="1" applyBorder="1" applyProtection="1"/>
    <xf numFmtId="9" fontId="2" fillId="3" borderId="1" xfId="0" applyNumberFormat="1" applyFont="1" applyFill="1" applyBorder="1" applyProtection="1"/>
    <xf numFmtId="10" fontId="2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14" fontId="2" fillId="2" borderId="1" xfId="0" applyNumberFormat="1" applyFont="1" applyFill="1" applyBorder="1" applyAlignment="1">
      <alignment horizontal="justify" vertical="center" wrapText="1"/>
    </xf>
    <xf numFmtId="0" fontId="2" fillId="0" borderId="1" xfId="0" applyFont="1" applyBorder="1" applyAlignment="1"/>
    <xf numFmtId="0" fontId="2" fillId="0" borderId="1" xfId="0" applyFont="1" applyBorder="1"/>
    <xf numFmtId="0" fontId="2" fillId="3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justify" vertical="center" wrapText="1"/>
    </xf>
    <xf numFmtId="14" fontId="2" fillId="3" borderId="1" xfId="0" applyNumberFormat="1" applyFont="1" applyFill="1" applyBorder="1" applyAlignment="1">
      <alignment horizontal="justify" vertical="center" wrapText="1"/>
    </xf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justify" vertical="center" wrapText="1"/>
    </xf>
    <xf numFmtId="14" fontId="2" fillId="0" borderId="1" xfId="0" applyNumberFormat="1" applyFont="1" applyFill="1" applyBorder="1" applyAlignment="1">
      <alignment horizontal="justify" vertical="center" wrapText="1"/>
    </xf>
    <xf numFmtId="0" fontId="2" fillId="0" borderId="1" xfId="0" applyFont="1" applyFill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5"/>
  <sheetViews>
    <sheetView tabSelected="1" zoomScale="90" zoomScaleNormal="90" workbookViewId="0">
      <pane ySplit="1" topLeftCell="A2" activePane="bottomLeft" state="frozen"/>
      <selection pane="bottomLeft" activeCell="R10" sqref="R10"/>
    </sheetView>
  </sheetViews>
  <sheetFormatPr defaultColWidth="9.1796875" defaultRowHeight="12" x14ac:dyDescent="0.3"/>
  <cols>
    <col min="1" max="1" width="5.7265625" style="12" bestFit="1" customWidth="1"/>
    <col min="2" max="2" width="4.81640625" style="36" bestFit="1" customWidth="1"/>
    <col min="3" max="4" width="7.81640625" style="12" bestFit="1" customWidth="1"/>
    <col min="5" max="6" width="9.26953125" style="12" bestFit="1" customWidth="1"/>
    <col min="7" max="7" width="8.54296875" style="10" bestFit="1" customWidth="1"/>
    <col min="8" max="9" width="7.81640625" style="10" bestFit="1" customWidth="1"/>
    <col min="10" max="10" width="8.54296875" style="10" customWidth="1"/>
    <col min="11" max="14" width="8.54296875" style="10" bestFit="1" customWidth="1"/>
    <col min="15" max="15" width="6" style="11" bestFit="1" customWidth="1"/>
    <col min="16" max="16" width="6" style="12" bestFit="1" customWidth="1"/>
    <col min="17" max="17" width="5" style="12" bestFit="1" customWidth="1"/>
    <col min="18" max="18" width="86.54296875" style="37" customWidth="1"/>
    <col min="19" max="19" width="45.453125" style="12" customWidth="1"/>
    <col min="20" max="16384" width="9.1796875" style="12"/>
  </cols>
  <sheetData>
    <row r="1" spans="1:19" s="18" customFormat="1" ht="36" x14ac:dyDescent="0.35">
      <c r="A1" s="3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17" t="s">
        <v>17</v>
      </c>
      <c r="S1" s="3" t="s">
        <v>18</v>
      </c>
    </row>
    <row r="2" spans="1:19" x14ac:dyDescent="0.3">
      <c r="A2" s="19" t="str">
        <f t="shared" ref="A2:A65" si="0">LEFT(C2,2)</f>
        <v>01</v>
      </c>
      <c r="B2" s="20" t="s">
        <v>19</v>
      </c>
      <c r="C2" s="21" t="s">
        <v>20</v>
      </c>
      <c r="D2" s="21">
        <v>38151210</v>
      </c>
      <c r="E2" s="22">
        <v>43592</v>
      </c>
      <c r="F2" s="22">
        <v>45291</v>
      </c>
      <c r="G2" s="4">
        <v>0.71779999999999999</v>
      </c>
      <c r="H2" s="4">
        <f t="shared" ref="H2:H65" si="1">((1+$G2)*(1-4%)/(1-$O2))-1</f>
        <v>1.011082926829268</v>
      </c>
      <c r="I2" s="4">
        <f t="shared" ref="I2:I65" si="2">((1+$G2)*(1-7%)/(1-$O2))-1</f>
        <v>0.94823658536585342</v>
      </c>
      <c r="J2" s="4">
        <f t="shared" ref="J2:J65" si="3">((1+$G2)*(1-12%)/(1-$O2))-1</f>
        <v>0.843492682926829</v>
      </c>
      <c r="K2" s="4">
        <v>0.36559999999999998</v>
      </c>
      <c r="L2" s="4">
        <f t="shared" ref="L2:L65" si="4">((1+$K2)*(1-4%)/(1-$O2))-1</f>
        <v>0.5987512195121949</v>
      </c>
      <c r="M2" s="4">
        <f t="shared" ref="M2:M65" si="5">((1+$K2)*(1-7%)/(1-$O2))-1</f>
        <v>0.54879024390243858</v>
      </c>
      <c r="N2" s="4">
        <f t="shared" ref="N2:N65" si="6">((1+$K2)*(1-12%)/(1-$O2))-1</f>
        <v>0.4655219512195119</v>
      </c>
      <c r="O2" s="5">
        <v>0.18</v>
      </c>
      <c r="P2" s="6"/>
      <c r="Q2" s="6"/>
      <c r="R2" s="23" t="s">
        <v>21</v>
      </c>
      <c r="S2" s="24" t="s">
        <v>22</v>
      </c>
    </row>
    <row r="3" spans="1:19" x14ac:dyDescent="0.3">
      <c r="A3" s="19" t="str">
        <f t="shared" si="0"/>
        <v>01</v>
      </c>
      <c r="B3" s="20" t="s">
        <v>19</v>
      </c>
      <c r="C3" s="21" t="s">
        <v>20</v>
      </c>
      <c r="D3" s="21">
        <v>38151210</v>
      </c>
      <c r="E3" s="22">
        <v>45292</v>
      </c>
      <c r="F3" s="21"/>
      <c r="G3" s="4">
        <v>0.71779999999999999</v>
      </c>
      <c r="H3" s="4">
        <f t="shared" si="1"/>
        <v>1.0613599999999996</v>
      </c>
      <c r="I3" s="4">
        <f t="shared" si="2"/>
        <v>0.99694249999999984</v>
      </c>
      <c r="J3" s="4">
        <f t="shared" si="3"/>
        <v>0.88957999999999982</v>
      </c>
      <c r="K3" s="4">
        <v>0.36559999999999998</v>
      </c>
      <c r="L3" s="4">
        <f t="shared" si="4"/>
        <v>0.63871999999999973</v>
      </c>
      <c r="M3" s="4">
        <f t="shared" si="5"/>
        <v>0.58750999999999975</v>
      </c>
      <c r="N3" s="4">
        <f t="shared" si="6"/>
        <v>0.50215999999999972</v>
      </c>
      <c r="O3" s="5">
        <v>0.2</v>
      </c>
      <c r="P3" s="6"/>
      <c r="Q3" s="6"/>
      <c r="R3" s="23" t="s">
        <v>21</v>
      </c>
      <c r="S3" s="24" t="s">
        <v>417</v>
      </c>
    </row>
    <row r="4" spans="1:19" x14ac:dyDescent="0.3">
      <c r="A4" s="19" t="str">
        <f t="shared" si="0"/>
        <v>01</v>
      </c>
      <c r="B4" s="20" t="s">
        <v>19</v>
      </c>
      <c r="C4" s="21" t="s">
        <v>20</v>
      </c>
      <c r="D4" s="21">
        <v>38151290</v>
      </c>
      <c r="E4" s="22">
        <v>43592</v>
      </c>
      <c r="F4" s="22">
        <v>45291</v>
      </c>
      <c r="G4" s="4">
        <v>0.71779999999999999</v>
      </c>
      <c r="H4" s="4">
        <f t="shared" si="1"/>
        <v>1.011082926829268</v>
      </c>
      <c r="I4" s="4">
        <f t="shared" si="2"/>
        <v>0.94823658536585342</v>
      </c>
      <c r="J4" s="4">
        <f t="shared" si="3"/>
        <v>0.843492682926829</v>
      </c>
      <c r="K4" s="4">
        <v>0.36559999999999998</v>
      </c>
      <c r="L4" s="4">
        <f t="shared" si="4"/>
        <v>0.5987512195121949</v>
      </c>
      <c r="M4" s="4">
        <f t="shared" si="5"/>
        <v>0.54879024390243858</v>
      </c>
      <c r="N4" s="4">
        <f t="shared" si="6"/>
        <v>0.4655219512195119</v>
      </c>
      <c r="O4" s="5">
        <v>0.18</v>
      </c>
      <c r="P4" s="6"/>
      <c r="Q4" s="6"/>
      <c r="R4" s="23" t="s">
        <v>21</v>
      </c>
      <c r="S4" s="24" t="s">
        <v>22</v>
      </c>
    </row>
    <row r="5" spans="1:19" x14ac:dyDescent="0.3">
      <c r="A5" s="19" t="str">
        <f t="shared" si="0"/>
        <v>01</v>
      </c>
      <c r="B5" s="20" t="s">
        <v>19</v>
      </c>
      <c r="C5" s="21" t="s">
        <v>20</v>
      </c>
      <c r="D5" s="21">
        <v>38151290</v>
      </c>
      <c r="E5" s="22">
        <v>45292</v>
      </c>
      <c r="F5" s="21"/>
      <c r="G5" s="4">
        <v>0.71779999999999999</v>
      </c>
      <c r="H5" s="4">
        <f t="shared" si="1"/>
        <v>1.0613599999999996</v>
      </c>
      <c r="I5" s="4">
        <f t="shared" si="2"/>
        <v>0.99694249999999984</v>
      </c>
      <c r="J5" s="4">
        <f t="shared" si="3"/>
        <v>0.88957999999999982</v>
      </c>
      <c r="K5" s="4">
        <v>0.36559999999999998</v>
      </c>
      <c r="L5" s="4">
        <f t="shared" si="4"/>
        <v>0.63871999999999973</v>
      </c>
      <c r="M5" s="4">
        <f t="shared" si="5"/>
        <v>0.58750999999999975</v>
      </c>
      <c r="N5" s="4">
        <f t="shared" si="6"/>
        <v>0.50215999999999972</v>
      </c>
      <c r="O5" s="5">
        <v>0.2</v>
      </c>
      <c r="P5" s="6"/>
      <c r="Q5" s="6"/>
      <c r="R5" s="23" t="s">
        <v>21</v>
      </c>
      <c r="S5" s="24" t="s">
        <v>417</v>
      </c>
    </row>
    <row r="6" spans="1:19" x14ac:dyDescent="0.3">
      <c r="A6" s="19" t="str">
        <f t="shared" si="0"/>
        <v>01</v>
      </c>
      <c r="B6" s="20" t="s">
        <v>23</v>
      </c>
      <c r="C6" s="21" t="s">
        <v>24</v>
      </c>
      <c r="D6" s="21">
        <v>3917</v>
      </c>
      <c r="E6" s="22">
        <v>43592</v>
      </c>
      <c r="F6" s="22">
        <v>45291</v>
      </c>
      <c r="G6" s="4">
        <v>0.71779999999999999</v>
      </c>
      <c r="H6" s="4">
        <f t="shared" si="1"/>
        <v>1.011082926829268</v>
      </c>
      <c r="I6" s="4">
        <f t="shared" si="2"/>
        <v>0.94823658536585342</v>
      </c>
      <c r="J6" s="4">
        <f t="shared" si="3"/>
        <v>0.843492682926829</v>
      </c>
      <c r="K6" s="4">
        <v>0.36559999999999998</v>
      </c>
      <c r="L6" s="4">
        <f t="shared" si="4"/>
        <v>0.5987512195121949</v>
      </c>
      <c r="M6" s="4">
        <f t="shared" si="5"/>
        <v>0.54879024390243858</v>
      </c>
      <c r="N6" s="4">
        <f t="shared" si="6"/>
        <v>0.4655219512195119</v>
      </c>
      <c r="O6" s="5">
        <v>0.18</v>
      </c>
      <c r="P6" s="6"/>
      <c r="Q6" s="6"/>
      <c r="R6" s="23" t="s">
        <v>25</v>
      </c>
      <c r="S6" s="24" t="s">
        <v>22</v>
      </c>
    </row>
    <row r="7" spans="1:19" x14ac:dyDescent="0.3">
      <c r="A7" s="19" t="str">
        <f t="shared" si="0"/>
        <v>01</v>
      </c>
      <c r="B7" s="20" t="s">
        <v>23</v>
      </c>
      <c r="C7" s="21" t="s">
        <v>24</v>
      </c>
      <c r="D7" s="21">
        <v>3917</v>
      </c>
      <c r="E7" s="22">
        <v>45292</v>
      </c>
      <c r="F7" s="21"/>
      <c r="G7" s="4">
        <v>0.71779999999999999</v>
      </c>
      <c r="H7" s="4">
        <f t="shared" si="1"/>
        <v>1.0613599999999996</v>
      </c>
      <c r="I7" s="4">
        <f t="shared" si="2"/>
        <v>0.99694249999999984</v>
      </c>
      <c r="J7" s="4">
        <f t="shared" si="3"/>
        <v>0.88957999999999982</v>
      </c>
      <c r="K7" s="4">
        <v>0.36559999999999998</v>
      </c>
      <c r="L7" s="4">
        <f t="shared" si="4"/>
        <v>0.63871999999999973</v>
      </c>
      <c r="M7" s="4">
        <f t="shared" si="5"/>
        <v>0.58750999999999975</v>
      </c>
      <c r="N7" s="4">
        <f t="shared" si="6"/>
        <v>0.50215999999999972</v>
      </c>
      <c r="O7" s="5">
        <v>0.2</v>
      </c>
      <c r="P7" s="6"/>
      <c r="Q7" s="6"/>
      <c r="R7" s="23" t="s">
        <v>25</v>
      </c>
      <c r="S7" s="24" t="s">
        <v>417</v>
      </c>
    </row>
    <row r="8" spans="1:19" x14ac:dyDescent="0.3">
      <c r="A8" s="19" t="str">
        <f t="shared" si="0"/>
        <v>01</v>
      </c>
      <c r="B8" s="20" t="s">
        <v>26</v>
      </c>
      <c r="C8" s="21" t="s">
        <v>27</v>
      </c>
      <c r="D8" s="21">
        <v>39181000</v>
      </c>
      <c r="E8" s="22">
        <v>43592</v>
      </c>
      <c r="F8" s="22">
        <v>45291</v>
      </c>
      <c r="G8" s="4">
        <v>0.71779999999999999</v>
      </c>
      <c r="H8" s="4">
        <f t="shared" si="1"/>
        <v>1.011082926829268</v>
      </c>
      <c r="I8" s="4">
        <f t="shared" si="2"/>
        <v>0.94823658536585342</v>
      </c>
      <c r="J8" s="4">
        <f t="shared" si="3"/>
        <v>0.843492682926829</v>
      </c>
      <c r="K8" s="4">
        <v>0.36559999999999998</v>
      </c>
      <c r="L8" s="4">
        <f t="shared" si="4"/>
        <v>0.5987512195121949</v>
      </c>
      <c r="M8" s="4">
        <f t="shared" si="5"/>
        <v>0.54879024390243858</v>
      </c>
      <c r="N8" s="4">
        <f t="shared" si="6"/>
        <v>0.4655219512195119</v>
      </c>
      <c r="O8" s="5">
        <v>0.18</v>
      </c>
      <c r="P8" s="6"/>
      <c r="Q8" s="6"/>
      <c r="R8" s="23" t="s">
        <v>28</v>
      </c>
      <c r="S8" s="24" t="s">
        <v>22</v>
      </c>
    </row>
    <row r="9" spans="1:19" x14ac:dyDescent="0.3">
      <c r="A9" s="19" t="str">
        <f t="shared" si="0"/>
        <v>01</v>
      </c>
      <c r="B9" s="20" t="s">
        <v>26</v>
      </c>
      <c r="C9" s="21" t="s">
        <v>27</v>
      </c>
      <c r="D9" s="21">
        <v>39181000</v>
      </c>
      <c r="E9" s="22">
        <v>45292</v>
      </c>
      <c r="F9" s="21"/>
      <c r="G9" s="4">
        <v>0.71779999999999999</v>
      </c>
      <c r="H9" s="4">
        <f t="shared" si="1"/>
        <v>1.0613599999999996</v>
      </c>
      <c r="I9" s="4">
        <f t="shared" si="2"/>
        <v>0.99694249999999984</v>
      </c>
      <c r="J9" s="4">
        <f t="shared" si="3"/>
        <v>0.88957999999999982</v>
      </c>
      <c r="K9" s="4">
        <v>0.36559999999999998</v>
      </c>
      <c r="L9" s="4">
        <f t="shared" si="4"/>
        <v>0.63871999999999973</v>
      </c>
      <c r="M9" s="4">
        <f t="shared" si="5"/>
        <v>0.58750999999999975</v>
      </c>
      <c r="N9" s="4">
        <f t="shared" si="6"/>
        <v>0.50215999999999972</v>
      </c>
      <c r="O9" s="5">
        <v>0.2</v>
      </c>
      <c r="P9" s="6"/>
      <c r="Q9" s="6"/>
      <c r="R9" s="23" t="s">
        <v>28</v>
      </c>
      <c r="S9" s="24" t="s">
        <v>417</v>
      </c>
    </row>
    <row r="10" spans="1:19" x14ac:dyDescent="0.3">
      <c r="A10" s="19" t="str">
        <f t="shared" si="0"/>
        <v>01</v>
      </c>
      <c r="B10" s="20" t="s">
        <v>29</v>
      </c>
      <c r="C10" s="21" t="s">
        <v>30</v>
      </c>
      <c r="D10" s="21">
        <v>39233000</v>
      </c>
      <c r="E10" s="22">
        <v>43592</v>
      </c>
      <c r="F10" s="22">
        <v>45291</v>
      </c>
      <c r="G10" s="4">
        <v>0.71779999999999999</v>
      </c>
      <c r="H10" s="4">
        <f t="shared" si="1"/>
        <v>1.011082926829268</v>
      </c>
      <c r="I10" s="4">
        <f t="shared" si="2"/>
        <v>0.94823658536585342</v>
      </c>
      <c r="J10" s="4">
        <f t="shared" si="3"/>
        <v>0.843492682926829</v>
      </c>
      <c r="K10" s="4">
        <v>0.36559999999999998</v>
      </c>
      <c r="L10" s="4">
        <f t="shared" si="4"/>
        <v>0.5987512195121949</v>
      </c>
      <c r="M10" s="4">
        <f t="shared" si="5"/>
        <v>0.54879024390243858</v>
      </c>
      <c r="N10" s="4">
        <f t="shared" si="6"/>
        <v>0.4655219512195119</v>
      </c>
      <c r="O10" s="5">
        <v>0.18</v>
      </c>
      <c r="P10" s="6"/>
      <c r="Q10" s="6"/>
      <c r="R10" s="23" t="s">
        <v>31</v>
      </c>
      <c r="S10" s="24" t="s">
        <v>22</v>
      </c>
    </row>
    <row r="11" spans="1:19" x14ac:dyDescent="0.3">
      <c r="A11" s="19" t="str">
        <f t="shared" si="0"/>
        <v>01</v>
      </c>
      <c r="B11" s="20" t="s">
        <v>29</v>
      </c>
      <c r="C11" s="21" t="s">
        <v>30</v>
      </c>
      <c r="D11" s="21">
        <v>39233000</v>
      </c>
      <c r="E11" s="22">
        <v>45292</v>
      </c>
      <c r="F11" s="21"/>
      <c r="G11" s="4">
        <v>0.71779999999999999</v>
      </c>
      <c r="H11" s="4">
        <f t="shared" si="1"/>
        <v>1.0613599999999996</v>
      </c>
      <c r="I11" s="4">
        <f t="shared" si="2"/>
        <v>0.99694249999999984</v>
      </c>
      <c r="J11" s="4">
        <f t="shared" si="3"/>
        <v>0.88957999999999982</v>
      </c>
      <c r="K11" s="4">
        <v>0.36559999999999998</v>
      </c>
      <c r="L11" s="4">
        <f t="shared" si="4"/>
        <v>0.63871999999999973</v>
      </c>
      <c r="M11" s="4">
        <f t="shared" si="5"/>
        <v>0.58750999999999975</v>
      </c>
      <c r="N11" s="4">
        <f t="shared" si="6"/>
        <v>0.50215999999999972</v>
      </c>
      <c r="O11" s="5">
        <v>0.2</v>
      </c>
      <c r="P11" s="6"/>
      <c r="Q11" s="6"/>
      <c r="R11" s="23" t="s">
        <v>31</v>
      </c>
      <c r="S11" s="24" t="s">
        <v>417</v>
      </c>
    </row>
    <row r="12" spans="1:19" x14ac:dyDescent="0.3">
      <c r="A12" s="19" t="str">
        <f t="shared" si="0"/>
        <v>01</v>
      </c>
      <c r="B12" s="20" t="s">
        <v>32</v>
      </c>
      <c r="C12" s="21" t="s">
        <v>33</v>
      </c>
      <c r="D12" s="21">
        <v>39263000</v>
      </c>
      <c r="E12" s="22">
        <v>43592</v>
      </c>
      <c r="F12" s="22">
        <v>45291</v>
      </c>
      <c r="G12" s="4">
        <v>0.71779999999999999</v>
      </c>
      <c r="H12" s="4">
        <f t="shared" si="1"/>
        <v>1.011082926829268</v>
      </c>
      <c r="I12" s="4">
        <f t="shared" si="2"/>
        <v>0.94823658536585342</v>
      </c>
      <c r="J12" s="4">
        <f t="shared" si="3"/>
        <v>0.843492682926829</v>
      </c>
      <c r="K12" s="4">
        <v>0.36559999999999998</v>
      </c>
      <c r="L12" s="4">
        <f t="shared" si="4"/>
        <v>0.5987512195121949</v>
      </c>
      <c r="M12" s="4">
        <f t="shared" si="5"/>
        <v>0.54879024390243858</v>
      </c>
      <c r="N12" s="4">
        <f t="shared" si="6"/>
        <v>0.4655219512195119</v>
      </c>
      <c r="O12" s="5">
        <v>0.18</v>
      </c>
      <c r="P12" s="6"/>
      <c r="Q12" s="6"/>
      <c r="R12" s="23" t="s">
        <v>34</v>
      </c>
      <c r="S12" s="24" t="s">
        <v>22</v>
      </c>
    </row>
    <row r="13" spans="1:19" x14ac:dyDescent="0.3">
      <c r="A13" s="19" t="str">
        <f t="shared" si="0"/>
        <v>01</v>
      </c>
      <c r="B13" s="20" t="s">
        <v>32</v>
      </c>
      <c r="C13" s="21" t="s">
        <v>33</v>
      </c>
      <c r="D13" s="21">
        <v>39263000</v>
      </c>
      <c r="E13" s="22">
        <v>45292</v>
      </c>
      <c r="F13" s="21"/>
      <c r="G13" s="4">
        <v>0.71779999999999999</v>
      </c>
      <c r="H13" s="4">
        <f t="shared" si="1"/>
        <v>1.0613599999999996</v>
      </c>
      <c r="I13" s="4">
        <f t="shared" si="2"/>
        <v>0.99694249999999984</v>
      </c>
      <c r="J13" s="4">
        <f t="shared" si="3"/>
        <v>0.88957999999999982</v>
      </c>
      <c r="K13" s="4">
        <v>0.36559999999999998</v>
      </c>
      <c r="L13" s="4">
        <f t="shared" si="4"/>
        <v>0.63871999999999973</v>
      </c>
      <c r="M13" s="4">
        <f t="shared" si="5"/>
        <v>0.58750999999999975</v>
      </c>
      <c r="N13" s="4">
        <f t="shared" si="6"/>
        <v>0.50215999999999972</v>
      </c>
      <c r="O13" s="5">
        <v>0.2</v>
      </c>
      <c r="P13" s="6"/>
      <c r="Q13" s="6"/>
      <c r="R13" s="23" t="s">
        <v>34</v>
      </c>
      <c r="S13" s="24" t="s">
        <v>417</v>
      </c>
    </row>
    <row r="14" spans="1:19" x14ac:dyDescent="0.3">
      <c r="A14" s="19" t="str">
        <f t="shared" si="0"/>
        <v>01</v>
      </c>
      <c r="B14" s="20" t="s">
        <v>35</v>
      </c>
      <c r="C14" s="21" t="s">
        <v>36</v>
      </c>
      <c r="D14" s="21">
        <v>40103</v>
      </c>
      <c r="E14" s="22">
        <v>43592</v>
      </c>
      <c r="F14" s="22">
        <v>45291</v>
      </c>
      <c r="G14" s="4">
        <v>0.71779999999999999</v>
      </c>
      <c r="H14" s="4">
        <f t="shared" si="1"/>
        <v>1.011082926829268</v>
      </c>
      <c r="I14" s="4">
        <f t="shared" si="2"/>
        <v>0.94823658536585342</v>
      </c>
      <c r="J14" s="4">
        <f t="shared" si="3"/>
        <v>0.843492682926829</v>
      </c>
      <c r="K14" s="4">
        <v>0.36559999999999998</v>
      </c>
      <c r="L14" s="4">
        <f t="shared" si="4"/>
        <v>0.5987512195121949</v>
      </c>
      <c r="M14" s="4">
        <f t="shared" si="5"/>
        <v>0.54879024390243858</v>
      </c>
      <c r="N14" s="4">
        <f t="shared" si="6"/>
        <v>0.4655219512195119</v>
      </c>
      <c r="O14" s="5">
        <v>0.18</v>
      </c>
      <c r="P14" s="6"/>
      <c r="Q14" s="6"/>
      <c r="R14" s="23" t="s">
        <v>37</v>
      </c>
      <c r="S14" s="24" t="s">
        <v>22</v>
      </c>
    </row>
    <row r="15" spans="1:19" x14ac:dyDescent="0.3">
      <c r="A15" s="19" t="str">
        <f t="shared" si="0"/>
        <v>01</v>
      </c>
      <c r="B15" s="20" t="s">
        <v>35</v>
      </c>
      <c r="C15" s="21" t="s">
        <v>36</v>
      </c>
      <c r="D15" s="21">
        <v>40103</v>
      </c>
      <c r="E15" s="22">
        <v>45292</v>
      </c>
      <c r="F15" s="21"/>
      <c r="G15" s="4">
        <v>0.71779999999999999</v>
      </c>
      <c r="H15" s="4">
        <f t="shared" si="1"/>
        <v>1.0613599999999996</v>
      </c>
      <c r="I15" s="4">
        <f t="shared" si="2"/>
        <v>0.99694249999999984</v>
      </c>
      <c r="J15" s="4">
        <f t="shared" si="3"/>
        <v>0.88957999999999982</v>
      </c>
      <c r="K15" s="4">
        <v>0.36559999999999998</v>
      </c>
      <c r="L15" s="4">
        <f t="shared" si="4"/>
        <v>0.63871999999999973</v>
      </c>
      <c r="M15" s="4">
        <f t="shared" si="5"/>
        <v>0.58750999999999975</v>
      </c>
      <c r="N15" s="4">
        <f t="shared" si="6"/>
        <v>0.50215999999999972</v>
      </c>
      <c r="O15" s="5">
        <v>0.2</v>
      </c>
      <c r="P15" s="6"/>
      <c r="Q15" s="6"/>
      <c r="R15" s="23" t="s">
        <v>37</v>
      </c>
      <c r="S15" s="24" t="s">
        <v>417</v>
      </c>
    </row>
    <row r="16" spans="1:19" x14ac:dyDescent="0.3">
      <c r="A16" s="19" t="str">
        <f t="shared" si="0"/>
        <v>01</v>
      </c>
      <c r="B16" s="20" t="s">
        <v>35</v>
      </c>
      <c r="C16" s="21" t="s">
        <v>36</v>
      </c>
      <c r="D16" s="21">
        <v>59100000</v>
      </c>
      <c r="E16" s="22">
        <v>43592</v>
      </c>
      <c r="F16" s="22">
        <v>45291</v>
      </c>
      <c r="G16" s="4">
        <v>0.71779999999999999</v>
      </c>
      <c r="H16" s="4">
        <f t="shared" si="1"/>
        <v>1.011082926829268</v>
      </c>
      <c r="I16" s="4">
        <f t="shared" si="2"/>
        <v>0.94823658536585342</v>
      </c>
      <c r="J16" s="4">
        <f t="shared" si="3"/>
        <v>0.843492682926829</v>
      </c>
      <c r="K16" s="4">
        <v>0.36559999999999998</v>
      </c>
      <c r="L16" s="4">
        <f t="shared" si="4"/>
        <v>0.5987512195121949</v>
      </c>
      <c r="M16" s="4">
        <f t="shared" si="5"/>
        <v>0.54879024390243858</v>
      </c>
      <c r="N16" s="4">
        <f t="shared" si="6"/>
        <v>0.4655219512195119</v>
      </c>
      <c r="O16" s="5">
        <v>0.18</v>
      </c>
      <c r="P16" s="6"/>
      <c r="Q16" s="6"/>
      <c r="R16" s="23" t="s">
        <v>37</v>
      </c>
      <c r="S16" s="24" t="s">
        <v>22</v>
      </c>
    </row>
    <row r="17" spans="1:19" x14ac:dyDescent="0.3">
      <c r="A17" s="19" t="str">
        <f t="shared" si="0"/>
        <v>01</v>
      </c>
      <c r="B17" s="20" t="s">
        <v>35</v>
      </c>
      <c r="C17" s="21" t="s">
        <v>36</v>
      </c>
      <c r="D17" s="21">
        <v>59100000</v>
      </c>
      <c r="E17" s="22">
        <v>45292</v>
      </c>
      <c r="F17" s="21"/>
      <c r="G17" s="4">
        <v>0.71779999999999999</v>
      </c>
      <c r="H17" s="4">
        <f t="shared" si="1"/>
        <v>1.0613599999999996</v>
      </c>
      <c r="I17" s="4">
        <f t="shared" si="2"/>
        <v>0.99694249999999984</v>
      </c>
      <c r="J17" s="4">
        <f t="shared" si="3"/>
        <v>0.88957999999999982</v>
      </c>
      <c r="K17" s="4">
        <v>0.36559999999999998</v>
      </c>
      <c r="L17" s="4">
        <f t="shared" si="4"/>
        <v>0.63871999999999973</v>
      </c>
      <c r="M17" s="4">
        <f t="shared" si="5"/>
        <v>0.58750999999999975</v>
      </c>
      <c r="N17" s="4">
        <f t="shared" si="6"/>
        <v>0.50215999999999972</v>
      </c>
      <c r="O17" s="5">
        <v>0.2</v>
      </c>
      <c r="P17" s="6"/>
      <c r="Q17" s="6"/>
      <c r="R17" s="23" t="s">
        <v>37</v>
      </c>
      <c r="S17" s="24" t="s">
        <v>417</v>
      </c>
    </row>
    <row r="18" spans="1:19" x14ac:dyDescent="0.3">
      <c r="A18" s="19" t="str">
        <f t="shared" si="0"/>
        <v>01</v>
      </c>
      <c r="B18" s="20" t="s">
        <v>38</v>
      </c>
      <c r="C18" s="21" t="s">
        <v>39</v>
      </c>
      <c r="D18" s="21">
        <v>4823909</v>
      </c>
      <c r="E18" s="22">
        <v>43592</v>
      </c>
      <c r="F18" s="22">
        <v>45291</v>
      </c>
      <c r="G18" s="4">
        <v>0.71779999999999999</v>
      </c>
      <c r="H18" s="4">
        <f t="shared" si="1"/>
        <v>1.011082926829268</v>
      </c>
      <c r="I18" s="4">
        <f t="shared" si="2"/>
        <v>0.94823658536585342</v>
      </c>
      <c r="J18" s="4">
        <f t="shared" si="3"/>
        <v>0.843492682926829</v>
      </c>
      <c r="K18" s="4">
        <v>0.36559999999999998</v>
      </c>
      <c r="L18" s="4">
        <f t="shared" si="4"/>
        <v>0.5987512195121949</v>
      </c>
      <c r="M18" s="4">
        <f t="shared" si="5"/>
        <v>0.54879024390243858</v>
      </c>
      <c r="N18" s="4">
        <f t="shared" si="6"/>
        <v>0.4655219512195119</v>
      </c>
      <c r="O18" s="5">
        <v>0.18</v>
      </c>
      <c r="P18" s="6"/>
      <c r="Q18" s="6"/>
      <c r="R18" s="23" t="s">
        <v>40</v>
      </c>
      <c r="S18" s="24" t="s">
        <v>22</v>
      </c>
    </row>
    <row r="19" spans="1:19" x14ac:dyDescent="0.3">
      <c r="A19" s="19" t="str">
        <f t="shared" si="0"/>
        <v>01</v>
      </c>
      <c r="B19" s="20" t="s">
        <v>38</v>
      </c>
      <c r="C19" s="21" t="s">
        <v>39</v>
      </c>
      <c r="D19" s="21">
        <v>4823909</v>
      </c>
      <c r="E19" s="22">
        <v>45292</v>
      </c>
      <c r="F19" s="21"/>
      <c r="G19" s="4">
        <v>0.71779999999999999</v>
      </c>
      <c r="H19" s="4">
        <f t="shared" si="1"/>
        <v>1.0613599999999996</v>
      </c>
      <c r="I19" s="4">
        <f t="shared" si="2"/>
        <v>0.99694249999999984</v>
      </c>
      <c r="J19" s="4">
        <f t="shared" si="3"/>
        <v>0.88957999999999982</v>
      </c>
      <c r="K19" s="4">
        <v>0.36559999999999998</v>
      </c>
      <c r="L19" s="4">
        <f t="shared" si="4"/>
        <v>0.63871999999999973</v>
      </c>
      <c r="M19" s="4">
        <f t="shared" si="5"/>
        <v>0.58750999999999975</v>
      </c>
      <c r="N19" s="4">
        <f t="shared" si="6"/>
        <v>0.50215999999999972</v>
      </c>
      <c r="O19" s="5">
        <v>0.2</v>
      </c>
      <c r="P19" s="6"/>
      <c r="Q19" s="6"/>
      <c r="R19" s="23" t="s">
        <v>40</v>
      </c>
      <c r="S19" s="24" t="s">
        <v>417</v>
      </c>
    </row>
    <row r="20" spans="1:19" x14ac:dyDescent="0.3">
      <c r="A20" s="19" t="str">
        <f t="shared" si="0"/>
        <v>01</v>
      </c>
      <c r="B20" s="20" t="s">
        <v>38</v>
      </c>
      <c r="C20" s="21" t="s">
        <v>39</v>
      </c>
      <c r="D20" s="21">
        <v>40169300</v>
      </c>
      <c r="E20" s="22">
        <v>43592</v>
      </c>
      <c r="F20" s="22">
        <v>45291</v>
      </c>
      <c r="G20" s="4">
        <v>0.71779999999999999</v>
      </c>
      <c r="H20" s="4">
        <f t="shared" si="1"/>
        <v>1.011082926829268</v>
      </c>
      <c r="I20" s="4">
        <f t="shared" si="2"/>
        <v>0.94823658536585342</v>
      </c>
      <c r="J20" s="4">
        <f t="shared" si="3"/>
        <v>0.843492682926829</v>
      </c>
      <c r="K20" s="4">
        <v>0.36559999999999998</v>
      </c>
      <c r="L20" s="4">
        <f t="shared" si="4"/>
        <v>0.5987512195121949</v>
      </c>
      <c r="M20" s="4">
        <f t="shared" si="5"/>
        <v>0.54879024390243858</v>
      </c>
      <c r="N20" s="4">
        <f t="shared" si="6"/>
        <v>0.4655219512195119</v>
      </c>
      <c r="O20" s="5">
        <v>0.18</v>
      </c>
      <c r="P20" s="6"/>
      <c r="Q20" s="6"/>
      <c r="R20" s="23" t="s">
        <v>40</v>
      </c>
      <c r="S20" s="24" t="s">
        <v>22</v>
      </c>
    </row>
    <row r="21" spans="1:19" x14ac:dyDescent="0.3">
      <c r="A21" s="19" t="str">
        <f t="shared" si="0"/>
        <v>01</v>
      </c>
      <c r="B21" s="20" t="s">
        <v>38</v>
      </c>
      <c r="C21" s="21" t="s">
        <v>39</v>
      </c>
      <c r="D21" s="21">
        <v>40169300</v>
      </c>
      <c r="E21" s="22">
        <v>45292</v>
      </c>
      <c r="F21" s="21"/>
      <c r="G21" s="4">
        <v>0.71779999999999999</v>
      </c>
      <c r="H21" s="4">
        <f t="shared" si="1"/>
        <v>1.0613599999999996</v>
      </c>
      <c r="I21" s="4">
        <f t="shared" si="2"/>
        <v>0.99694249999999984</v>
      </c>
      <c r="J21" s="4">
        <f t="shared" si="3"/>
        <v>0.88957999999999982</v>
      </c>
      <c r="K21" s="4">
        <v>0.36559999999999998</v>
      </c>
      <c r="L21" s="4">
        <f t="shared" si="4"/>
        <v>0.63871999999999973</v>
      </c>
      <c r="M21" s="4">
        <f t="shared" si="5"/>
        <v>0.58750999999999975</v>
      </c>
      <c r="N21" s="4">
        <f t="shared" si="6"/>
        <v>0.50215999999999972</v>
      </c>
      <c r="O21" s="5">
        <v>0.2</v>
      </c>
      <c r="P21" s="6"/>
      <c r="Q21" s="6"/>
      <c r="R21" s="23" t="s">
        <v>40</v>
      </c>
      <c r="S21" s="24" t="s">
        <v>417</v>
      </c>
    </row>
    <row r="22" spans="1:19" x14ac:dyDescent="0.3">
      <c r="A22" s="19" t="str">
        <f t="shared" si="0"/>
        <v>01</v>
      </c>
      <c r="B22" s="20" t="s">
        <v>41</v>
      </c>
      <c r="C22" s="21" t="s">
        <v>42</v>
      </c>
      <c r="D22" s="21">
        <v>40161010</v>
      </c>
      <c r="E22" s="22">
        <v>43592</v>
      </c>
      <c r="F22" s="22">
        <v>45291</v>
      </c>
      <c r="G22" s="4">
        <v>0.71779999999999999</v>
      </c>
      <c r="H22" s="4">
        <f t="shared" si="1"/>
        <v>1.011082926829268</v>
      </c>
      <c r="I22" s="4">
        <f t="shared" si="2"/>
        <v>0.94823658536585342</v>
      </c>
      <c r="J22" s="4">
        <f t="shared" si="3"/>
        <v>0.843492682926829</v>
      </c>
      <c r="K22" s="4">
        <v>0.36559999999999998</v>
      </c>
      <c r="L22" s="4">
        <f t="shared" si="4"/>
        <v>0.5987512195121949</v>
      </c>
      <c r="M22" s="4">
        <f t="shared" si="5"/>
        <v>0.54879024390243858</v>
      </c>
      <c r="N22" s="4">
        <f t="shared" si="6"/>
        <v>0.4655219512195119</v>
      </c>
      <c r="O22" s="5">
        <v>0.18</v>
      </c>
      <c r="P22" s="6"/>
      <c r="Q22" s="6"/>
      <c r="R22" s="23" t="s">
        <v>43</v>
      </c>
      <c r="S22" s="24" t="s">
        <v>22</v>
      </c>
    </row>
    <row r="23" spans="1:19" x14ac:dyDescent="0.3">
      <c r="A23" s="19" t="str">
        <f t="shared" si="0"/>
        <v>01</v>
      </c>
      <c r="B23" s="20" t="s">
        <v>41</v>
      </c>
      <c r="C23" s="21" t="s">
        <v>42</v>
      </c>
      <c r="D23" s="21">
        <v>40161010</v>
      </c>
      <c r="E23" s="22">
        <v>45292</v>
      </c>
      <c r="F23" s="21"/>
      <c r="G23" s="4">
        <v>0.71779999999999999</v>
      </c>
      <c r="H23" s="4">
        <f t="shared" si="1"/>
        <v>1.0613599999999996</v>
      </c>
      <c r="I23" s="4">
        <f t="shared" si="2"/>
        <v>0.99694249999999984</v>
      </c>
      <c r="J23" s="4">
        <f t="shared" si="3"/>
        <v>0.88957999999999982</v>
      </c>
      <c r="K23" s="4">
        <v>0.36559999999999998</v>
      </c>
      <c r="L23" s="4">
        <f t="shared" si="4"/>
        <v>0.63871999999999973</v>
      </c>
      <c r="M23" s="4">
        <f t="shared" si="5"/>
        <v>0.58750999999999975</v>
      </c>
      <c r="N23" s="4">
        <f t="shared" si="6"/>
        <v>0.50215999999999972</v>
      </c>
      <c r="O23" s="5">
        <v>0.2</v>
      </c>
      <c r="P23" s="6"/>
      <c r="Q23" s="6"/>
      <c r="R23" s="23" t="s">
        <v>43</v>
      </c>
      <c r="S23" s="24" t="s">
        <v>417</v>
      </c>
    </row>
    <row r="24" spans="1:19" x14ac:dyDescent="0.3">
      <c r="A24" s="19" t="str">
        <f t="shared" si="0"/>
        <v>01</v>
      </c>
      <c r="B24" s="20" t="s">
        <v>44</v>
      </c>
      <c r="C24" s="21" t="s">
        <v>45</v>
      </c>
      <c r="D24" s="21">
        <v>40169990</v>
      </c>
      <c r="E24" s="22">
        <v>43592</v>
      </c>
      <c r="F24" s="22">
        <v>45291</v>
      </c>
      <c r="G24" s="4">
        <v>0.71779999999999999</v>
      </c>
      <c r="H24" s="4">
        <f t="shared" si="1"/>
        <v>1.011082926829268</v>
      </c>
      <c r="I24" s="4">
        <f t="shared" si="2"/>
        <v>0.94823658536585342</v>
      </c>
      <c r="J24" s="4">
        <f t="shared" si="3"/>
        <v>0.843492682926829</v>
      </c>
      <c r="K24" s="4">
        <v>0.36559999999999998</v>
      </c>
      <c r="L24" s="4">
        <f t="shared" si="4"/>
        <v>0.5987512195121949</v>
      </c>
      <c r="M24" s="4">
        <f t="shared" si="5"/>
        <v>0.54879024390243858</v>
      </c>
      <c r="N24" s="4">
        <f t="shared" si="6"/>
        <v>0.4655219512195119</v>
      </c>
      <c r="O24" s="5">
        <v>0.18</v>
      </c>
      <c r="P24" s="6"/>
      <c r="Q24" s="6"/>
      <c r="R24" s="23" t="s">
        <v>46</v>
      </c>
      <c r="S24" s="24" t="s">
        <v>22</v>
      </c>
    </row>
    <row r="25" spans="1:19" x14ac:dyDescent="0.3">
      <c r="A25" s="19" t="str">
        <f t="shared" si="0"/>
        <v>01</v>
      </c>
      <c r="B25" s="20" t="s">
        <v>44</v>
      </c>
      <c r="C25" s="21" t="s">
        <v>45</v>
      </c>
      <c r="D25" s="21">
        <v>40169990</v>
      </c>
      <c r="E25" s="22">
        <v>45292</v>
      </c>
      <c r="F25" s="21"/>
      <c r="G25" s="4">
        <v>0.71779999999999999</v>
      </c>
      <c r="H25" s="4">
        <f t="shared" si="1"/>
        <v>1.0613599999999996</v>
      </c>
      <c r="I25" s="4">
        <f t="shared" si="2"/>
        <v>0.99694249999999984</v>
      </c>
      <c r="J25" s="4">
        <f t="shared" si="3"/>
        <v>0.88957999999999982</v>
      </c>
      <c r="K25" s="4">
        <v>0.36559999999999998</v>
      </c>
      <c r="L25" s="4">
        <f t="shared" si="4"/>
        <v>0.63871999999999973</v>
      </c>
      <c r="M25" s="4">
        <f t="shared" si="5"/>
        <v>0.58750999999999975</v>
      </c>
      <c r="N25" s="4">
        <f t="shared" si="6"/>
        <v>0.50215999999999972</v>
      </c>
      <c r="O25" s="5">
        <v>0.2</v>
      </c>
      <c r="P25" s="6"/>
      <c r="Q25" s="6"/>
      <c r="R25" s="23" t="s">
        <v>46</v>
      </c>
      <c r="S25" s="24" t="s">
        <v>417</v>
      </c>
    </row>
    <row r="26" spans="1:19" x14ac:dyDescent="0.3">
      <c r="A26" s="19" t="str">
        <f t="shared" si="0"/>
        <v>01</v>
      </c>
      <c r="B26" s="20" t="s">
        <v>44</v>
      </c>
      <c r="C26" s="21" t="s">
        <v>45</v>
      </c>
      <c r="D26" s="21">
        <v>57050000</v>
      </c>
      <c r="E26" s="22">
        <v>43592</v>
      </c>
      <c r="F26" s="22">
        <v>45291</v>
      </c>
      <c r="G26" s="4">
        <v>0.71779999999999999</v>
      </c>
      <c r="H26" s="4">
        <f t="shared" si="1"/>
        <v>1.011082926829268</v>
      </c>
      <c r="I26" s="4">
        <f t="shared" si="2"/>
        <v>0.94823658536585342</v>
      </c>
      <c r="J26" s="4">
        <f t="shared" si="3"/>
        <v>0.843492682926829</v>
      </c>
      <c r="K26" s="4">
        <v>0.36559999999999998</v>
      </c>
      <c r="L26" s="4">
        <f t="shared" si="4"/>
        <v>0.5987512195121949</v>
      </c>
      <c r="M26" s="4">
        <f t="shared" si="5"/>
        <v>0.54879024390243858</v>
      </c>
      <c r="N26" s="4">
        <f t="shared" si="6"/>
        <v>0.4655219512195119</v>
      </c>
      <c r="O26" s="5">
        <v>0.18</v>
      </c>
      <c r="P26" s="6"/>
      <c r="Q26" s="6"/>
      <c r="R26" s="23" t="s">
        <v>46</v>
      </c>
      <c r="S26" s="24" t="s">
        <v>22</v>
      </c>
    </row>
    <row r="27" spans="1:19" x14ac:dyDescent="0.3">
      <c r="A27" s="19" t="str">
        <f t="shared" si="0"/>
        <v>01</v>
      </c>
      <c r="B27" s="20" t="s">
        <v>44</v>
      </c>
      <c r="C27" s="21" t="s">
        <v>45</v>
      </c>
      <c r="D27" s="21">
        <v>57050000</v>
      </c>
      <c r="E27" s="22">
        <v>45292</v>
      </c>
      <c r="F27" s="21"/>
      <c r="G27" s="4">
        <v>0.71779999999999999</v>
      </c>
      <c r="H27" s="4">
        <f t="shared" si="1"/>
        <v>1.0613599999999996</v>
      </c>
      <c r="I27" s="4">
        <f t="shared" si="2"/>
        <v>0.99694249999999984</v>
      </c>
      <c r="J27" s="4">
        <f t="shared" si="3"/>
        <v>0.88957999999999982</v>
      </c>
      <c r="K27" s="4">
        <v>0.36559999999999998</v>
      </c>
      <c r="L27" s="4">
        <f t="shared" si="4"/>
        <v>0.63871999999999973</v>
      </c>
      <c r="M27" s="4">
        <f t="shared" si="5"/>
        <v>0.58750999999999975</v>
      </c>
      <c r="N27" s="4">
        <f t="shared" si="6"/>
        <v>0.50215999999999972</v>
      </c>
      <c r="O27" s="5">
        <v>0.2</v>
      </c>
      <c r="P27" s="6"/>
      <c r="Q27" s="6"/>
      <c r="R27" s="23" t="s">
        <v>46</v>
      </c>
      <c r="S27" s="24" t="s">
        <v>417</v>
      </c>
    </row>
    <row r="28" spans="1:19" x14ac:dyDescent="0.3">
      <c r="A28" s="19" t="str">
        <f t="shared" si="0"/>
        <v>01</v>
      </c>
      <c r="B28" s="20" t="s">
        <v>47</v>
      </c>
      <c r="C28" s="21" t="s">
        <v>48</v>
      </c>
      <c r="D28" s="21">
        <v>59039000</v>
      </c>
      <c r="E28" s="22">
        <v>43592</v>
      </c>
      <c r="F28" s="22">
        <v>45291</v>
      </c>
      <c r="G28" s="4">
        <v>0.71779999999999999</v>
      </c>
      <c r="H28" s="4">
        <f t="shared" si="1"/>
        <v>1.011082926829268</v>
      </c>
      <c r="I28" s="4">
        <f t="shared" si="2"/>
        <v>0.94823658536585342</v>
      </c>
      <c r="J28" s="4">
        <f t="shared" si="3"/>
        <v>0.843492682926829</v>
      </c>
      <c r="K28" s="4">
        <v>0.36559999999999998</v>
      </c>
      <c r="L28" s="4">
        <f t="shared" si="4"/>
        <v>0.5987512195121949</v>
      </c>
      <c r="M28" s="4">
        <f t="shared" si="5"/>
        <v>0.54879024390243858</v>
      </c>
      <c r="N28" s="4">
        <f t="shared" si="6"/>
        <v>0.4655219512195119</v>
      </c>
      <c r="O28" s="5">
        <v>0.18</v>
      </c>
      <c r="P28" s="6"/>
      <c r="Q28" s="6"/>
      <c r="R28" s="23" t="s">
        <v>49</v>
      </c>
      <c r="S28" s="24" t="s">
        <v>22</v>
      </c>
    </row>
    <row r="29" spans="1:19" x14ac:dyDescent="0.3">
      <c r="A29" s="19" t="str">
        <f t="shared" si="0"/>
        <v>01</v>
      </c>
      <c r="B29" s="20" t="s">
        <v>47</v>
      </c>
      <c r="C29" s="21" t="s">
        <v>48</v>
      </c>
      <c r="D29" s="21">
        <v>59039000</v>
      </c>
      <c r="E29" s="22">
        <v>45292</v>
      </c>
      <c r="F29" s="21"/>
      <c r="G29" s="4">
        <v>0.71779999999999999</v>
      </c>
      <c r="H29" s="4">
        <f t="shared" si="1"/>
        <v>1.0613599999999996</v>
      </c>
      <c r="I29" s="4">
        <f t="shared" si="2"/>
        <v>0.99694249999999984</v>
      </c>
      <c r="J29" s="4">
        <f t="shared" si="3"/>
        <v>0.88957999999999982</v>
      </c>
      <c r="K29" s="4">
        <v>0.36559999999999998</v>
      </c>
      <c r="L29" s="4">
        <f t="shared" si="4"/>
        <v>0.63871999999999973</v>
      </c>
      <c r="M29" s="4">
        <f t="shared" si="5"/>
        <v>0.58750999999999975</v>
      </c>
      <c r="N29" s="4">
        <f t="shared" si="6"/>
        <v>0.50215999999999972</v>
      </c>
      <c r="O29" s="5">
        <v>0.2</v>
      </c>
      <c r="P29" s="6"/>
      <c r="Q29" s="6"/>
      <c r="R29" s="23" t="s">
        <v>49</v>
      </c>
      <c r="S29" s="24" t="s">
        <v>417</v>
      </c>
    </row>
    <row r="30" spans="1:19" x14ac:dyDescent="0.3">
      <c r="A30" s="19" t="str">
        <f t="shared" si="0"/>
        <v>01</v>
      </c>
      <c r="B30" s="20" t="s">
        <v>50</v>
      </c>
      <c r="C30" s="21" t="s">
        <v>51</v>
      </c>
      <c r="D30" s="21">
        <v>59090000</v>
      </c>
      <c r="E30" s="22">
        <v>43592</v>
      </c>
      <c r="F30" s="22">
        <v>45291</v>
      </c>
      <c r="G30" s="4">
        <v>0.71779999999999999</v>
      </c>
      <c r="H30" s="4">
        <f t="shared" si="1"/>
        <v>1.011082926829268</v>
      </c>
      <c r="I30" s="4">
        <f t="shared" si="2"/>
        <v>0.94823658536585342</v>
      </c>
      <c r="J30" s="4">
        <f t="shared" si="3"/>
        <v>0.843492682926829</v>
      </c>
      <c r="K30" s="4">
        <v>0.36559999999999998</v>
      </c>
      <c r="L30" s="4">
        <f t="shared" si="4"/>
        <v>0.5987512195121949</v>
      </c>
      <c r="M30" s="4">
        <f t="shared" si="5"/>
        <v>0.54879024390243858</v>
      </c>
      <c r="N30" s="4">
        <f t="shared" si="6"/>
        <v>0.4655219512195119</v>
      </c>
      <c r="O30" s="5">
        <v>0.18</v>
      </c>
      <c r="P30" s="6"/>
      <c r="Q30" s="6"/>
      <c r="R30" s="23" t="s">
        <v>52</v>
      </c>
      <c r="S30" s="24" t="s">
        <v>22</v>
      </c>
    </row>
    <row r="31" spans="1:19" x14ac:dyDescent="0.3">
      <c r="A31" s="19" t="str">
        <f t="shared" si="0"/>
        <v>01</v>
      </c>
      <c r="B31" s="20" t="s">
        <v>50</v>
      </c>
      <c r="C31" s="21" t="s">
        <v>51</v>
      </c>
      <c r="D31" s="21">
        <v>59090000</v>
      </c>
      <c r="E31" s="22">
        <v>45292</v>
      </c>
      <c r="F31" s="21"/>
      <c r="G31" s="4">
        <v>0.71779999999999999</v>
      </c>
      <c r="H31" s="4">
        <f t="shared" si="1"/>
        <v>1.0613599999999996</v>
      </c>
      <c r="I31" s="4">
        <f t="shared" si="2"/>
        <v>0.99694249999999984</v>
      </c>
      <c r="J31" s="4">
        <f t="shared" si="3"/>
        <v>0.88957999999999982</v>
      </c>
      <c r="K31" s="4">
        <v>0.36559999999999998</v>
      </c>
      <c r="L31" s="4">
        <f t="shared" si="4"/>
        <v>0.63871999999999973</v>
      </c>
      <c r="M31" s="4">
        <f t="shared" si="5"/>
        <v>0.58750999999999975</v>
      </c>
      <c r="N31" s="4">
        <f t="shared" si="6"/>
        <v>0.50215999999999972</v>
      </c>
      <c r="O31" s="5">
        <v>0.2</v>
      </c>
      <c r="P31" s="6"/>
      <c r="Q31" s="6"/>
      <c r="R31" s="23" t="s">
        <v>52</v>
      </c>
      <c r="S31" s="24" t="s">
        <v>417</v>
      </c>
    </row>
    <row r="32" spans="1:19" x14ac:dyDescent="0.3">
      <c r="A32" s="19" t="str">
        <f t="shared" si="0"/>
        <v>01</v>
      </c>
      <c r="B32" s="20" t="s">
        <v>53</v>
      </c>
      <c r="C32" s="21" t="s">
        <v>54</v>
      </c>
      <c r="D32" s="21">
        <v>63061</v>
      </c>
      <c r="E32" s="22">
        <v>43592</v>
      </c>
      <c r="F32" s="22">
        <v>45291</v>
      </c>
      <c r="G32" s="4">
        <v>0.71779999999999999</v>
      </c>
      <c r="H32" s="4">
        <f t="shared" si="1"/>
        <v>1.011082926829268</v>
      </c>
      <c r="I32" s="4">
        <f t="shared" si="2"/>
        <v>0.94823658536585342</v>
      </c>
      <c r="J32" s="4">
        <f t="shared" si="3"/>
        <v>0.843492682926829</v>
      </c>
      <c r="K32" s="4">
        <v>0.36559999999999998</v>
      </c>
      <c r="L32" s="4">
        <f t="shared" si="4"/>
        <v>0.5987512195121949</v>
      </c>
      <c r="M32" s="4">
        <f t="shared" si="5"/>
        <v>0.54879024390243858</v>
      </c>
      <c r="N32" s="4">
        <f t="shared" si="6"/>
        <v>0.4655219512195119</v>
      </c>
      <c r="O32" s="5">
        <v>0.18</v>
      </c>
      <c r="P32" s="6"/>
      <c r="Q32" s="6"/>
      <c r="R32" s="23" t="s">
        <v>55</v>
      </c>
      <c r="S32" s="24" t="s">
        <v>22</v>
      </c>
    </row>
    <row r="33" spans="1:19" x14ac:dyDescent="0.3">
      <c r="A33" s="19" t="str">
        <f t="shared" si="0"/>
        <v>01</v>
      </c>
      <c r="B33" s="20" t="s">
        <v>53</v>
      </c>
      <c r="C33" s="21" t="s">
        <v>54</v>
      </c>
      <c r="D33" s="21">
        <v>63061</v>
      </c>
      <c r="E33" s="22">
        <v>45292</v>
      </c>
      <c r="F33" s="21"/>
      <c r="G33" s="4">
        <v>0.71779999999999999</v>
      </c>
      <c r="H33" s="4">
        <f t="shared" si="1"/>
        <v>1.0613599999999996</v>
      </c>
      <c r="I33" s="4">
        <f t="shared" si="2"/>
        <v>0.99694249999999984</v>
      </c>
      <c r="J33" s="4">
        <f t="shared" si="3"/>
        <v>0.88957999999999982</v>
      </c>
      <c r="K33" s="4">
        <v>0.36559999999999998</v>
      </c>
      <c r="L33" s="4">
        <f t="shared" si="4"/>
        <v>0.63871999999999973</v>
      </c>
      <c r="M33" s="4">
        <f t="shared" si="5"/>
        <v>0.58750999999999975</v>
      </c>
      <c r="N33" s="4">
        <f t="shared" si="6"/>
        <v>0.50215999999999972</v>
      </c>
      <c r="O33" s="5">
        <v>0.2</v>
      </c>
      <c r="P33" s="6"/>
      <c r="Q33" s="6"/>
      <c r="R33" s="23" t="s">
        <v>55</v>
      </c>
      <c r="S33" s="24" t="s">
        <v>417</v>
      </c>
    </row>
    <row r="34" spans="1:19" x14ac:dyDescent="0.3">
      <c r="A34" s="19" t="str">
        <f t="shared" si="0"/>
        <v>01</v>
      </c>
      <c r="B34" s="20" t="s">
        <v>56</v>
      </c>
      <c r="C34" s="21" t="s">
        <v>57</v>
      </c>
      <c r="D34" s="21">
        <v>65061000</v>
      </c>
      <c r="E34" s="22">
        <v>43592</v>
      </c>
      <c r="F34" s="22">
        <v>45291</v>
      </c>
      <c r="G34" s="4">
        <v>0.71779999999999999</v>
      </c>
      <c r="H34" s="4">
        <f t="shared" si="1"/>
        <v>1.011082926829268</v>
      </c>
      <c r="I34" s="4">
        <f t="shared" si="2"/>
        <v>0.94823658536585342</v>
      </c>
      <c r="J34" s="4">
        <f t="shared" si="3"/>
        <v>0.843492682926829</v>
      </c>
      <c r="K34" s="4">
        <v>0.36559999999999998</v>
      </c>
      <c r="L34" s="4">
        <f t="shared" si="4"/>
        <v>0.5987512195121949</v>
      </c>
      <c r="M34" s="4">
        <f t="shared" si="5"/>
        <v>0.54879024390243858</v>
      </c>
      <c r="N34" s="4">
        <f t="shared" si="6"/>
        <v>0.4655219512195119</v>
      </c>
      <c r="O34" s="5">
        <v>0.18</v>
      </c>
      <c r="P34" s="6"/>
      <c r="Q34" s="6"/>
      <c r="R34" s="23" t="s">
        <v>58</v>
      </c>
      <c r="S34" s="24" t="s">
        <v>22</v>
      </c>
    </row>
    <row r="35" spans="1:19" x14ac:dyDescent="0.3">
      <c r="A35" s="19" t="str">
        <f t="shared" si="0"/>
        <v>01</v>
      </c>
      <c r="B35" s="20" t="s">
        <v>56</v>
      </c>
      <c r="C35" s="21" t="s">
        <v>57</v>
      </c>
      <c r="D35" s="21">
        <v>65061000</v>
      </c>
      <c r="E35" s="22">
        <v>45292</v>
      </c>
      <c r="F35" s="21"/>
      <c r="G35" s="4">
        <v>0.71779999999999999</v>
      </c>
      <c r="H35" s="4">
        <f t="shared" si="1"/>
        <v>1.0613599999999996</v>
      </c>
      <c r="I35" s="4">
        <f t="shared" si="2"/>
        <v>0.99694249999999984</v>
      </c>
      <c r="J35" s="4">
        <f t="shared" si="3"/>
        <v>0.88957999999999982</v>
      </c>
      <c r="K35" s="4">
        <v>0.36559999999999998</v>
      </c>
      <c r="L35" s="4">
        <f t="shared" si="4"/>
        <v>0.63871999999999973</v>
      </c>
      <c r="M35" s="4">
        <f t="shared" si="5"/>
        <v>0.58750999999999975</v>
      </c>
      <c r="N35" s="4">
        <f t="shared" si="6"/>
        <v>0.50215999999999972</v>
      </c>
      <c r="O35" s="5">
        <v>0.2</v>
      </c>
      <c r="P35" s="6"/>
      <c r="Q35" s="6"/>
      <c r="R35" s="23" t="s">
        <v>58</v>
      </c>
      <c r="S35" s="24" t="s">
        <v>417</v>
      </c>
    </row>
    <row r="36" spans="1:19" x14ac:dyDescent="0.3">
      <c r="A36" s="19" t="str">
        <f t="shared" si="0"/>
        <v>01</v>
      </c>
      <c r="B36" s="20" t="s">
        <v>59</v>
      </c>
      <c r="C36" s="21" t="s">
        <v>60</v>
      </c>
      <c r="D36" s="21">
        <v>6813</v>
      </c>
      <c r="E36" s="22">
        <v>43592</v>
      </c>
      <c r="F36" s="22">
        <v>45291</v>
      </c>
      <c r="G36" s="4">
        <v>0.71779999999999999</v>
      </c>
      <c r="H36" s="4">
        <f t="shared" si="1"/>
        <v>1.011082926829268</v>
      </c>
      <c r="I36" s="4">
        <f t="shared" si="2"/>
        <v>0.94823658536585342</v>
      </c>
      <c r="J36" s="4">
        <f t="shared" si="3"/>
        <v>0.843492682926829</v>
      </c>
      <c r="K36" s="4">
        <v>0.36559999999999998</v>
      </c>
      <c r="L36" s="4">
        <f t="shared" si="4"/>
        <v>0.5987512195121949</v>
      </c>
      <c r="M36" s="4">
        <f t="shared" si="5"/>
        <v>0.54879024390243858</v>
      </c>
      <c r="N36" s="4">
        <f t="shared" si="6"/>
        <v>0.4655219512195119</v>
      </c>
      <c r="O36" s="5">
        <v>0.18</v>
      </c>
      <c r="P36" s="6"/>
      <c r="Q36" s="6"/>
      <c r="R36" s="23" t="s">
        <v>61</v>
      </c>
      <c r="S36" s="24" t="s">
        <v>22</v>
      </c>
    </row>
    <row r="37" spans="1:19" x14ac:dyDescent="0.3">
      <c r="A37" s="19" t="str">
        <f t="shared" si="0"/>
        <v>01</v>
      </c>
      <c r="B37" s="20" t="s">
        <v>59</v>
      </c>
      <c r="C37" s="21" t="s">
        <v>60</v>
      </c>
      <c r="D37" s="21">
        <v>6813</v>
      </c>
      <c r="E37" s="22">
        <v>45292</v>
      </c>
      <c r="F37" s="21"/>
      <c r="G37" s="4">
        <v>0.71779999999999999</v>
      </c>
      <c r="H37" s="4">
        <f t="shared" si="1"/>
        <v>1.0613599999999996</v>
      </c>
      <c r="I37" s="4">
        <f t="shared" si="2"/>
        <v>0.99694249999999984</v>
      </c>
      <c r="J37" s="4">
        <f t="shared" si="3"/>
        <v>0.88957999999999982</v>
      </c>
      <c r="K37" s="4">
        <v>0.36559999999999998</v>
      </c>
      <c r="L37" s="4">
        <f t="shared" si="4"/>
        <v>0.63871999999999973</v>
      </c>
      <c r="M37" s="4">
        <f t="shared" si="5"/>
        <v>0.58750999999999975</v>
      </c>
      <c r="N37" s="4">
        <f t="shared" si="6"/>
        <v>0.50215999999999972</v>
      </c>
      <c r="O37" s="5">
        <v>0.2</v>
      </c>
      <c r="P37" s="6"/>
      <c r="Q37" s="6"/>
      <c r="R37" s="23" t="s">
        <v>61</v>
      </c>
      <c r="S37" s="24" t="s">
        <v>417</v>
      </c>
    </row>
    <row r="38" spans="1:19" x14ac:dyDescent="0.3">
      <c r="A38" s="19" t="str">
        <f t="shared" si="0"/>
        <v>01</v>
      </c>
      <c r="B38" s="20" t="s">
        <v>62</v>
      </c>
      <c r="C38" s="21" t="s">
        <v>63</v>
      </c>
      <c r="D38" s="21">
        <v>70071100</v>
      </c>
      <c r="E38" s="22">
        <v>43592</v>
      </c>
      <c r="F38" s="22">
        <v>45291</v>
      </c>
      <c r="G38" s="4">
        <v>0.71779999999999999</v>
      </c>
      <c r="H38" s="4">
        <f t="shared" si="1"/>
        <v>1.011082926829268</v>
      </c>
      <c r="I38" s="4">
        <f t="shared" si="2"/>
        <v>0.94823658536585342</v>
      </c>
      <c r="J38" s="4">
        <f t="shared" si="3"/>
        <v>0.843492682926829</v>
      </c>
      <c r="K38" s="4">
        <v>0.36559999999999998</v>
      </c>
      <c r="L38" s="4">
        <f t="shared" si="4"/>
        <v>0.5987512195121949</v>
      </c>
      <c r="M38" s="4">
        <f t="shared" si="5"/>
        <v>0.54879024390243858</v>
      </c>
      <c r="N38" s="4">
        <f t="shared" si="6"/>
        <v>0.4655219512195119</v>
      </c>
      <c r="O38" s="5">
        <v>0.18</v>
      </c>
      <c r="P38" s="6"/>
      <c r="Q38" s="6"/>
      <c r="R38" s="23" t="s">
        <v>64</v>
      </c>
      <c r="S38" s="24" t="s">
        <v>22</v>
      </c>
    </row>
    <row r="39" spans="1:19" x14ac:dyDescent="0.3">
      <c r="A39" s="19" t="str">
        <f t="shared" si="0"/>
        <v>01</v>
      </c>
      <c r="B39" s="20" t="s">
        <v>62</v>
      </c>
      <c r="C39" s="21" t="s">
        <v>63</v>
      </c>
      <c r="D39" s="21">
        <v>70071100</v>
      </c>
      <c r="E39" s="22">
        <v>45292</v>
      </c>
      <c r="F39" s="21"/>
      <c r="G39" s="4">
        <v>0.71779999999999999</v>
      </c>
      <c r="H39" s="4">
        <f t="shared" si="1"/>
        <v>1.0613599999999996</v>
      </c>
      <c r="I39" s="4">
        <f t="shared" si="2"/>
        <v>0.99694249999999984</v>
      </c>
      <c r="J39" s="4">
        <f t="shared" si="3"/>
        <v>0.88957999999999982</v>
      </c>
      <c r="K39" s="4">
        <v>0.36559999999999998</v>
      </c>
      <c r="L39" s="4">
        <f t="shared" si="4"/>
        <v>0.63871999999999973</v>
      </c>
      <c r="M39" s="4">
        <f t="shared" si="5"/>
        <v>0.58750999999999975</v>
      </c>
      <c r="N39" s="4">
        <f t="shared" si="6"/>
        <v>0.50215999999999972</v>
      </c>
      <c r="O39" s="5">
        <v>0.2</v>
      </c>
      <c r="P39" s="6"/>
      <c r="Q39" s="6"/>
      <c r="R39" s="23" t="s">
        <v>64</v>
      </c>
      <c r="S39" s="24" t="s">
        <v>417</v>
      </c>
    </row>
    <row r="40" spans="1:19" x14ac:dyDescent="0.3">
      <c r="A40" s="19" t="str">
        <f t="shared" si="0"/>
        <v>01</v>
      </c>
      <c r="B40" s="20" t="s">
        <v>62</v>
      </c>
      <c r="C40" s="21" t="s">
        <v>63</v>
      </c>
      <c r="D40" s="21">
        <v>70072100</v>
      </c>
      <c r="E40" s="22">
        <v>43592</v>
      </c>
      <c r="F40" s="22">
        <v>45291</v>
      </c>
      <c r="G40" s="4">
        <v>0.71779999999999999</v>
      </c>
      <c r="H40" s="4">
        <f t="shared" si="1"/>
        <v>1.011082926829268</v>
      </c>
      <c r="I40" s="4">
        <f t="shared" si="2"/>
        <v>0.94823658536585342</v>
      </c>
      <c r="J40" s="4">
        <f t="shared" si="3"/>
        <v>0.843492682926829</v>
      </c>
      <c r="K40" s="4">
        <v>0.36559999999999998</v>
      </c>
      <c r="L40" s="4">
        <f t="shared" si="4"/>
        <v>0.5987512195121949</v>
      </c>
      <c r="M40" s="4">
        <f t="shared" si="5"/>
        <v>0.54879024390243858</v>
      </c>
      <c r="N40" s="4">
        <f t="shared" si="6"/>
        <v>0.4655219512195119</v>
      </c>
      <c r="O40" s="5">
        <v>0.18</v>
      </c>
      <c r="P40" s="6"/>
      <c r="Q40" s="6"/>
      <c r="R40" s="23" t="s">
        <v>64</v>
      </c>
      <c r="S40" s="24" t="s">
        <v>22</v>
      </c>
    </row>
    <row r="41" spans="1:19" x14ac:dyDescent="0.3">
      <c r="A41" s="19" t="str">
        <f t="shared" si="0"/>
        <v>01</v>
      </c>
      <c r="B41" s="20" t="s">
        <v>62</v>
      </c>
      <c r="C41" s="21" t="s">
        <v>63</v>
      </c>
      <c r="D41" s="21">
        <v>70072100</v>
      </c>
      <c r="E41" s="22">
        <v>45292</v>
      </c>
      <c r="F41" s="21"/>
      <c r="G41" s="4">
        <v>0.71779999999999999</v>
      </c>
      <c r="H41" s="4">
        <f t="shared" si="1"/>
        <v>1.0613599999999996</v>
      </c>
      <c r="I41" s="4">
        <f t="shared" si="2"/>
        <v>0.99694249999999984</v>
      </c>
      <c r="J41" s="4">
        <f t="shared" si="3"/>
        <v>0.88957999999999982</v>
      </c>
      <c r="K41" s="4">
        <v>0.36559999999999998</v>
      </c>
      <c r="L41" s="4">
        <f t="shared" si="4"/>
        <v>0.63871999999999973</v>
      </c>
      <c r="M41" s="4">
        <f t="shared" si="5"/>
        <v>0.58750999999999975</v>
      </c>
      <c r="N41" s="4">
        <f t="shared" si="6"/>
        <v>0.50215999999999972</v>
      </c>
      <c r="O41" s="5">
        <v>0.2</v>
      </c>
      <c r="P41" s="6"/>
      <c r="Q41" s="6"/>
      <c r="R41" s="23" t="s">
        <v>64</v>
      </c>
      <c r="S41" s="24" t="s">
        <v>417</v>
      </c>
    </row>
    <row r="42" spans="1:19" x14ac:dyDescent="0.3">
      <c r="A42" s="19" t="str">
        <f t="shared" si="0"/>
        <v>01</v>
      </c>
      <c r="B42" s="20" t="s">
        <v>65</v>
      </c>
      <c r="C42" s="21" t="s">
        <v>66</v>
      </c>
      <c r="D42" s="21">
        <v>70091000</v>
      </c>
      <c r="E42" s="22">
        <v>43592</v>
      </c>
      <c r="F42" s="22">
        <v>45291</v>
      </c>
      <c r="G42" s="4">
        <v>0.71779999999999999</v>
      </c>
      <c r="H42" s="4">
        <f t="shared" si="1"/>
        <v>1.011082926829268</v>
      </c>
      <c r="I42" s="4">
        <f t="shared" si="2"/>
        <v>0.94823658536585342</v>
      </c>
      <c r="J42" s="4">
        <f t="shared" si="3"/>
        <v>0.843492682926829</v>
      </c>
      <c r="K42" s="4">
        <v>0.36559999999999998</v>
      </c>
      <c r="L42" s="4">
        <f t="shared" si="4"/>
        <v>0.5987512195121949</v>
      </c>
      <c r="M42" s="4">
        <f t="shared" si="5"/>
        <v>0.54879024390243858</v>
      </c>
      <c r="N42" s="4">
        <f t="shared" si="6"/>
        <v>0.4655219512195119</v>
      </c>
      <c r="O42" s="5">
        <v>0.18</v>
      </c>
      <c r="P42" s="6"/>
      <c r="Q42" s="6"/>
      <c r="R42" s="23" t="s">
        <v>67</v>
      </c>
      <c r="S42" s="24" t="s">
        <v>22</v>
      </c>
    </row>
    <row r="43" spans="1:19" x14ac:dyDescent="0.3">
      <c r="A43" s="19" t="str">
        <f t="shared" si="0"/>
        <v>01</v>
      </c>
      <c r="B43" s="20" t="s">
        <v>65</v>
      </c>
      <c r="C43" s="21" t="s">
        <v>66</v>
      </c>
      <c r="D43" s="21">
        <v>70091000</v>
      </c>
      <c r="E43" s="22">
        <v>45292</v>
      </c>
      <c r="F43" s="21"/>
      <c r="G43" s="4">
        <v>0.71779999999999999</v>
      </c>
      <c r="H43" s="4">
        <f t="shared" si="1"/>
        <v>1.0613599999999996</v>
      </c>
      <c r="I43" s="4">
        <f t="shared" si="2"/>
        <v>0.99694249999999984</v>
      </c>
      <c r="J43" s="4">
        <f t="shared" si="3"/>
        <v>0.88957999999999982</v>
      </c>
      <c r="K43" s="4">
        <v>0.36559999999999998</v>
      </c>
      <c r="L43" s="4">
        <f t="shared" si="4"/>
        <v>0.63871999999999973</v>
      </c>
      <c r="M43" s="4">
        <f t="shared" si="5"/>
        <v>0.58750999999999975</v>
      </c>
      <c r="N43" s="4">
        <f t="shared" si="6"/>
        <v>0.50215999999999972</v>
      </c>
      <c r="O43" s="5">
        <v>0.2</v>
      </c>
      <c r="P43" s="6"/>
      <c r="Q43" s="6"/>
      <c r="R43" s="23" t="s">
        <v>67</v>
      </c>
      <c r="S43" s="24" t="s">
        <v>417</v>
      </c>
    </row>
    <row r="44" spans="1:19" x14ac:dyDescent="0.3">
      <c r="A44" s="19" t="str">
        <f t="shared" si="0"/>
        <v>01</v>
      </c>
      <c r="B44" s="20" t="s">
        <v>68</v>
      </c>
      <c r="C44" s="21" t="s">
        <v>69</v>
      </c>
      <c r="D44" s="21">
        <v>70140000</v>
      </c>
      <c r="E44" s="22">
        <v>43592</v>
      </c>
      <c r="F44" s="22">
        <v>45291</v>
      </c>
      <c r="G44" s="4">
        <v>0.71779999999999999</v>
      </c>
      <c r="H44" s="4">
        <f t="shared" si="1"/>
        <v>1.011082926829268</v>
      </c>
      <c r="I44" s="4">
        <f t="shared" si="2"/>
        <v>0.94823658536585342</v>
      </c>
      <c r="J44" s="4">
        <f t="shared" si="3"/>
        <v>0.843492682926829</v>
      </c>
      <c r="K44" s="4">
        <v>0.36559999999999998</v>
      </c>
      <c r="L44" s="4">
        <f t="shared" si="4"/>
        <v>0.5987512195121949</v>
      </c>
      <c r="M44" s="4">
        <f t="shared" si="5"/>
        <v>0.54879024390243858</v>
      </c>
      <c r="N44" s="4">
        <f t="shared" si="6"/>
        <v>0.4655219512195119</v>
      </c>
      <c r="O44" s="5">
        <v>0.18</v>
      </c>
      <c r="P44" s="6"/>
      <c r="Q44" s="6"/>
      <c r="R44" s="23" t="s">
        <v>70</v>
      </c>
      <c r="S44" s="24" t="s">
        <v>22</v>
      </c>
    </row>
    <row r="45" spans="1:19" x14ac:dyDescent="0.3">
      <c r="A45" s="19" t="str">
        <f t="shared" si="0"/>
        <v>01</v>
      </c>
      <c r="B45" s="20" t="s">
        <v>68</v>
      </c>
      <c r="C45" s="21" t="s">
        <v>69</v>
      </c>
      <c r="D45" s="21">
        <v>70140000</v>
      </c>
      <c r="E45" s="22">
        <v>45292</v>
      </c>
      <c r="F45" s="21"/>
      <c r="G45" s="4">
        <v>0.71779999999999999</v>
      </c>
      <c r="H45" s="4">
        <f t="shared" si="1"/>
        <v>1.0613599999999996</v>
      </c>
      <c r="I45" s="4">
        <f t="shared" si="2"/>
        <v>0.99694249999999984</v>
      </c>
      <c r="J45" s="4">
        <f t="shared" si="3"/>
        <v>0.88957999999999982</v>
      </c>
      <c r="K45" s="4">
        <v>0.36559999999999998</v>
      </c>
      <c r="L45" s="4">
        <f t="shared" si="4"/>
        <v>0.63871999999999973</v>
      </c>
      <c r="M45" s="4">
        <f t="shared" si="5"/>
        <v>0.58750999999999975</v>
      </c>
      <c r="N45" s="4">
        <f t="shared" si="6"/>
        <v>0.50215999999999972</v>
      </c>
      <c r="O45" s="5">
        <v>0.2</v>
      </c>
      <c r="P45" s="6"/>
      <c r="Q45" s="6"/>
      <c r="R45" s="23" t="s">
        <v>70</v>
      </c>
      <c r="S45" s="24" t="s">
        <v>417</v>
      </c>
    </row>
    <row r="46" spans="1:19" x14ac:dyDescent="0.3">
      <c r="A46" s="19" t="str">
        <f t="shared" si="0"/>
        <v>01</v>
      </c>
      <c r="B46" s="20" t="s">
        <v>71</v>
      </c>
      <c r="C46" s="21" t="s">
        <v>72</v>
      </c>
      <c r="D46" s="21">
        <v>73110000</v>
      </c>
      <c r="E46" s="22">
        <v>43592</v>
      </c>
      <c r="F46" s="22">
        <v>45291</v>
      </c>
      <c r="G46" s="4">
        <v>0.71779999999999999</v>
      </c>
      <c r="H46" s="4">
        <f t="shared" si="1"/>
        <v>1.011082926829268</v>
      </c>
      <c r="I46" s="4">
        <f t="shared" si="2"/>
        <v>0.94823658536585342</v>
      </c>
      <c r="J46" s="4">
        <f t="shared" si="3"/>
        <v>0.843492682926829</v>
      </c>
      <c r="K46" s="4">
        <v>0.36559999999999998</v>
      </c>
      <c r="L46" s="4">
        <f t="shared" si="4"/>
        <v>0.5987512195121949</v>
      </c>
      <c r="M46" s="4">
        <f t="shared" si="5"/>
        <v>0.54879024390243858</v>
      </c>
      <c r="N46" s="4">
        <f t="shared" si="6"/>
        <v>0.4655219512195119</v>
      </c>
      <c r="O46" s="5">
        <v>0.18</v>
      </c>
      <c r="P46" s="6"/>
      <c r="Q46" s="6"/>
      <c r="R46" s="23" t="s">
        <v>73</v>
      </c>
      <c r="S46" s="24" t="s">
        <v>22</v>
      </c>
    </row>
    <row r="47" spans="1:19" x14ac:dyDescent="0.3">
      <c r="A47" s="19" t="str">
        <f t="shared" si="0"/>
        <v>01</v>
      </c>
      <c r="B47" s="20" t="s">
        <v>71</v>
      </c>
      <c r="C47" s="21" t="s">
        <v>72</v>
      </c>
      <c r="D47" s="21">
        <v>73110000</v>
      </c>
      <c r="E47" s="22">
        <v>45292</v>
      </c>
      <c r="F47" s="21"/>
      <c r="G47" s="4">
        <v>0.71779999999999999</v>
      </c>
      <c r="H47" s="4">
        <f t="shared" si="1"/>
        <v>1.0613599999999996</v>
      </c>
      <c r="I47" s="4">
        <f t="shared" si="2"/>
        <v>0.99694249999999984</v>
      </c>
      <c r="J47" s="4">
        <f t="shared" si="3"/>
        <v>0.88957999999999982</v>
      </c>
      <c r="K47" s="4">
        <v>0.36559999999999998</v>
      </c>
      <c r="L47" s="4">
        <f t="shared" si="4"/>
        <v>0.63871999999999973</v>
      </c>
      <c r="M47" s="4">
        <f t="shared" si="5"/>
        <v>0.58750999999999975</v>
      </c>
      <c r="N47" s="4">
        <f t="shared" si="6"/>
        <v>0.50215999999999972</v>
      </c>
      <c r="O47" s="5">
        <v>0.2</v>
      </c>
      <c r="P47" s="6"/>
      <c r="Q47" s="6"/>
      <c r="R47" s="23" t="s">
        <v>73</v>
      </c>
      <c r="S47" s="24" t="s">
        <v>417</v>
      </c>
    </row>
    <row r="48" spans="1:19" x14ac:dyDescent="0.3">
      <c r="A48" s="19" t="str">
        <f t="shared" si="0"/>
        <v>01</v>
      </c>
      <c r="B48" s="20" t="s">
        <v>74</v>
      </c>
      <c r="C48" s="21" t="s">
        <v>75</v>
      </c>
      <c r="D48" s="21">
        <v>73110000</v>
      </c>
      <c r="E48" s="22">
        <v>43592</v>
      </c>
      <c r="F48" s="22">
        <v>45291</v>
      </c>
      <c r="G48" s="4">
        <v>0.71779999999999999</v>
      </c>
      <c r="H48" s="4">
        <f t="shared" si="1"/>
        <v>1.011082926829268</v>
      </c>
      <c r="I48" s="4">
        <f t="shared" si="2"/>
        <v>0.94823658536585342</v>
      </c>
      <c r="J48" s="4">
        <f t="shared" si="3"/>
        <v>0.843492682926829</v>
      </c>
      <c r="K48" s="4">
        <v>0.36559999999999998</v>
      </c>
      <c r="L48" s="4">
        <f t="shared" si="4"/>
        <v>0.5987512195121949</v>
      </c>
      <c r="M48" s="4">
        <f t="shared" si="5"/>
        <v>0.54879024390243858</v>
      </c>
      <c r="N48" s="4">
        <f t="shared" si="6"/>
        <v>0.4655219512195119</v>
      </c>
      <c r="O48" s="5">
        <v>0.18</v>
      </c>
      <c r="P48" s="6"/>
      <c r="Q48" s="6"/>
      <c r="R48" s="23" t="s">
        <v>76</v>
      </c>
      <c r="S48" s="24" t="s">
        <v>22</v>
      </c>
    </row>
    <row r="49" spans="1:19" x14ac:dyDescent="0.3">
      <c r="A49" s="19" t="str">
        <f t="shared" si="0"/>
        <v>01</v>
      </c>
      <c r="B49" s="20" t="s">
        <v>74</v>
      </c>
      <c r="C49" s="21" t="s">
        <v>75</v>
      </c>
      <c r="D49" s="21">
        <v>73110000</v>
      </c>
      <c r="E49" s="22">
        <v>45292</v>
      </c>
      <c r="F49" s="21"/>
      <c r="G49" s="4">
        <v>0.71779999999999999</v>
      </c>
      <c r="H49" s="4">
        <f t="shared" si="1"/>
        <v>1.0613599999999996</v>
      </c>
      <c r="I49" s="4">
        <f t="shared" si="2"/>
        <v>0.99694249999999984</v>
      </c>
      <c r="J49" s="4">
        <f t="shared" si="3"/>
        <v>0.88957999999999982</v>
      </c>
      <c r="K49" s="4">
        <v>0.36559999999999998</v>
      </c>
      <c r="L49" s="4">
        <f t="shared" si="4"/>
        <v>0.63871999999999973</v>
      </c>
      <c r="M49" s="4">
        <f t="shared" si="5"/>
        <v>0.58750999999999975</v>
      </c>
      <c r="N49" s="4">
        <f t="shared" si="6"/>
        <v>0.50215999999999972</v>
      </c>
      <c r="O49" s="5">
        <v>0.2</v>
      </c>
      <c r="P49" s="6"/>
      <c r="Q49" s="6"/>
      <c r="R49" s="23" t="s">
        <v>76</v>
      </c>
      <c r="S49" s="24" t="s">
        <v>417</v>
      </c>
    </row>
    <row r="50" spans="1:19" x14ac:dyDescent="0.3">
      <c r="A50" s="19" t="str">
        <f t="shared" si="0"/>
        <v>01</v>
      </c>
      <c r="B50" s="20" t="s">
        <v>77</v>
      </c>
      <c r="C50" s="21" t="s">
        <v>78</v>
      </c>
      <c r="D50" s="21">
        <v>7320</v>
      </c>
      <c r="E50" s="22">
        <v>43592</v>
      </c>
      <c r="F50" s="22">
        <v>45291</v>
      </c>
      <c r="G50" s="4">
        <v>0.71779999999999999</v>
      </c>
      <c r="H50" s="4">
        <f t="shared" si="1"/>
        <v>1.011082926829268</v>
      </c>
      <c r="I50" s="4">
        <f t="shared" si="2"/>
        <v>0.94823658536585342</v>
      </c>
      <c r="J50" s="4">
        <f t="shared" si="3"/>
        <v>0.843492682926829</v>
      </c>
      <c r="K50" s="4">
        <v>0.36559999999999998</v>
      </c>
      <c r="L50" s="4">
        <f t="shared" si="4"/>
        <v>0.5987512195121949</v>
      </c>
      <c r="M50" s="4">
        <f t="shared" si="5"/>
        <v>0.54879024390243858</v>
      </c>
      <c r="N50" s="4">
        <f t="shared" si="6"/>
        <v>0.4655219512195119</v>
      </c>
      <c r="O50" s="5">
        <v>0.18</v>
      </c>
      <c r="P50" s="6"/>
      <c r="Q50" s="6"/>
      <c r="R50" s="23" t="s">
        <v>79</v>
      </c>
      <c r="S50" s="24" t="s">
        <v>22</v>
      </c>
    </row>
    <row r="51" spans="1:19" x14ac:dyDescent="0.3">
      <c r="A51" s="19" t="str">
        <f t="shared" si="0"/>
        <v>01</v>
      </c>
      <c r="B51" s="20" t="s">
        <v>77</v>
      </c>
      <c r="C51" s="21" t="s">
        <v>78</v>
      </c>
      <c r="D51" s="21">
        <v>7320</v>
      </c>
      <c r="E51" s="22">
        <v>45292</v>
      </c>
      <c r="F51" s="21"/>
      <c r="G51" s="4">
        <v>0.71779999999999999</v>
      </c>
      <c r="H51" s="4">
        <f t="shared" si="1"/>
        <v>1.0613599999999996</v>
      </c>
      <c r="I51" s="4">
        <f t="shared" si="2"/>
        <v>0.99694249999999984</v>
      </c>
      <c r="J51" s="4">
        <f t="shared" si="3"/>
        <v>0.88957999999999982</v>
      </c>
      <c r="K51" s="4">
        <v>0.36559999999999998</v>
      </c>
      <c r="L51" s="4">
        <f t="shared" si="4"/>
        <v>0.63871999999999973</v>
      </c>
      <c r="M51" s="4">
        <f t="shared" si="5"/>
        <v>0.58750999999999975</v>
      </c>
      <c r="N51" s="4">
        <f t="shared" si="6"/>
        <v>0.50215999999999972</v>
      </c>
      <c r="O51" s="5">
        <v>0.2</v>
      </c>
      <c r="P51" s="6"/>
      <c r="Q51" s="6"/>
      <c r="R51" s="23" t="s">
        <v>79</v>
      </c>
      <c r="S51" s="24" t="s">
        <v>417</v>
      </c>
    </row>
    <row r="52" spans="1:19" x14ac:dyDescent="0.3">
      <c r="A52" s="19" t="str">
        <f t="shared" si="0"/>
        <v>01</v>
      </c>
      <c r="B52" s="20" t="s">
        <v>80</v>
      </c>
      <c r="C52" s="21" t="s">
        <v>81</v>
      </c>
      <c r="D52" s="21">
        <v>7325</v>
      </c>
      <c r="E52" s="22">
        <v>43592</v>
      </c>
      <c r="F52" s="22">
        <v>45291</v>
      </c>
      <c r="G52" s="4">
        <v>0.71779999999999999</v>
      </c>
      <c r="H52" s="4">
        <f t="shared" si="1"/>
        <v>1.011082926829268</v>
      </c>
      <c r="I52" s="4">
        <f t="shared" si="2"/>
        <v>0.94823658536585342</v>
      </c>
      <c r="J52" s="4">
        <f t="shared" si="3"/>
        <v>0.843492682926829</v>
      </c>
      <c r="K52" s="4">
        <v>0.36559999999999998</v>
      </c>
      <c r="L52" s="4">
        <f t="shared" si="4"/>
        <v>0.5987512195121949</v>
      </c>
      <c r="M52" s="4">
        <f t="shared" si="5"/>
        <v>0.54879024390243858</v>
      </c>
      <c r="N52" s="4">
        <f t="shared" si="6"/>
        <v>0.4655219512195119</v>
      </c>
      <c r="O52" s="5">
        <v>0.18</v>
      </c>
      <c r="P52" s="6"/>
      <c r="Q52" s="6"/>
      <c r="R52" s="23" t="s">
        <v>82</v>
      </c>
      <c r="S52" s="24" t="s">
        <v>22</v>
      </c>
    </row>
    <row r="53" spans="1:19" x14ac:dyDescent="0.3">
      <c r="A53" s="19" t="str">
        <f t="shared" si="0"/>
        <v>01</v>
      </c>
      <c r="B53" s="20" t="s">
        <v>80</v>
      </c>
      <c r="C53" s="21" t="s">
        <v>81</v>
      </c>
      <c r="D53" s="21">
        <v>7325</v>
      </c>
      <c r="E53" s="22">
        <v>45292</v>
      </c>
      <c r="F53" s="21"/>
      <c r="G53" s="4">
        <v>0.71779999999999999</v>
      </c>
      <c r="H53" s="4">
        <f t="shared" si="1"/>
        <v>1.0613599999999996</v>
      </c>
      <c r="I53" s="4">
        <f t="shared" si="2"/>
        <v>0.99694249999999984</v>
      </c>
      <c r="J53" s="4">
        <f t="shared" si="3"/>
        <v>0.88957999999999982</v>
      </c>
      <c r="K53" s="4">
        <v>0.36559999999999998</v>
      </c>
      <c r="L53" s="4">
        <f t="shared" si="4"/>
        <v>0.63871999999999973</v>
      </c>
      <c r="M53" s="4">
        <f t="shared" si="5"/>
        <v>0.58750999999999975</v>
      </c>
      <c r="N53" s="4">
        <f t="shared" si="6"/>
        <v>0.50215999999999972</v>
      </c>
      <c r="O53" s="5">
        <v>0.2</v>
      </c>
      <c r="P53" s="6"/>
      <c r="Q53" s="6"/>
      <c r="R53" s="23" t="s">
        <v>82</v>
      </c>
      <c r="S53" s="24" t="s">
        <v>417</v>
      </c>
    </row>
    <row r="54" spans="1:19" s="25" customFormat="1" x14ac:dyDescent="0.3">
      <c r="A54" s="19" t="str">
        <f t="shared" si="0"/>
        <v>01</v>
      </c>
      <c r="B54" s="20" t="s">
        <v>83</v>
      </c>
      <c r="C54" s="21" t="s">
        <v>84</v>
      </c>
      <c r="D54" s="21">
        <v>780600</v>
      </c>
      <c r="E54" s="22">
        <v>43592</v>
      </c>
      <c r="F54" s="22">
        <v>45291</v>
      </c>
      <c r="G54" s="4">
        <v>0.71779999999999999</v>
      </c>
      <c r="H54" s="4">
        <f t="shared" si="1"/>
        <v>1.011082926829268</v>
      </c>
      <c r="I54" s="4">
        <f t="shared" si="2"/>
        <v>0.94823658536585342</v>
      </c>
      <c r="J54" s="4">
        <f t="shared" si="3"/>
        <v>0.843492682926829</v>
      </c>
      <c r="K54" s="4">
        <v>0.36559999999999998</v>
      </c>
      <c r="L54" s="4">
        <f t="shared" si="4"/>
        <v>0.5987512195121949</v>
      </c>
      <c r="M54" s="4">
        <f t="shared" si="5"/>
        <v>0.54879024390243858</v>
      </c>
      <c r="N54" s="4">
        <f t="shared" si="6"/>
        <v>0.4655219512195119</v>
      </c>
      <c r="O54" s="5">
        <v>0.18</v>
      </c>
      <c r="P54" s="6"/>
      <c r="Q54" s="6"/>
      <c r="R54" s="23" t="s">
        <v>85</v>
      </c>
      <c r="S54" s="24" t="s">
        <v>22</v>
      </c>
    </row>
    <row r="55" spans="1:19" s="25" customFormat="1" x14ac:dyDescent="0.3">
      <c r="A55" s="19" t="str">
        <f t="shared" si="0"/>
        <v>01</v>
      </c>
      <c r="B55" s="20" t="s">
        <v>83</v>
      </c>
      <c r="C55" s="21" t="s">
        <v>84</v>
      </c>
      <c r="D55" s="21">
        <v>780600</v>
      </c>
      <c r="E55" s="22">
        <v>45292</v>
      </c>
      <c r="F55" s="21"/>
      <c r="G55" s="4">
        <v>0.71779999999999999</v>
      </c>
      <c r="H55" s="4">
        <f t="shared" si="1"/>
        <v>1.0613599999999996</v>
      </c>
      <c r="I55" s="4">
        <f t="shared" si="2"/>
        <v>0.99694249999999984</v>
      </c>
      <c r="J55" s="4">
        <f t="shared" si="3"/>
        <v>0.88957999999999982</v>
      </c>
      <c r="K55" s="4">
        <v>0.36559999999999998</v>
      </c>
      <c r="L55" s="4">
        <f t="shared" si="4"/>
        <v>0.63871999999999973</v>
      </c>
      <c r="M55" s="4">
        <f t="shared" si="5"/>
        <v>0.58750999999999975</v>
      </c>
      <c r="N55" s="4">
        <f t="shared" si="6"/>
        <v>0.50215999999999972</v>
      </c>
      <c r="O55" s="5">
        <v>0.2</v>
      </c>
      <c r="P55" s="6"/>
      <c r="Q55" s="6"/>
      <c r="R55" s="23" t="s">
        <v>85</v>
      </c>
      <c r="S55" s="24" t="s">
        <v>417</v>
      </c>
    </row>
    <row r="56" spans="1:19" x14ac:dyDescent="0.3">
      <c r="A56" s="19" t="str">
        <f t="shared" si="0"/>
        <v>01</v>
      </c>
      <c r="B56" s="20" t="s">
        <v>86</v>
      </c>
      <c r="C56" s="21" t="s">
        <v>87</v>
      </c>
      <c r="D56" s="21">
        <v>80070090</v>
      </c>
      <c r="E56" s="22">
        <v>43592</v>
      </c>
      <c r="F56" s="22">
        <v>45291</v>
      </c>
      <c r="G56" s="4">
        <v>0.71779999999999999</v>
      </c>
      <c r="H56" s="4">
        <f t="shared" si="1"/>
        <v>1.011082926829268</v>
      </c>
      <c r="I56" s="4">
        <f t="shared" si="2"/>
        <v>0.94823658536585342</v>
      </c>
      <c r="J56" s="4">
        <f t="shared" si="3"/>
        <v>0.843492682926829</v>
      </c>
      <c r="K56" s="4">
        <v>0.36559999999999998</v>
      </c>
      <c r="L56" s="4">
        <f t="shared" si="4"/>
        <v>0.5987512195121949</v>
      </c>
      <c r="M56" s="4">
        <f t="shared" si="5"/>
        <v>0.54879024390243858</v>
      </c>
      <c r="N56" s="4">
        <f t="shared" si="6"/>
        <v>0.4655219512195119</v>
      </c>
      <c r="O56" s="5">
        <v>0.18</v>
      </c>
      <c r="P56" s="6"/>
      <c r="Q56" s="6"/>
      <c r="R56" s="23" t="s">
        <v>88</v>
      </c>
      <c r="S56" s="24" t="s">
        <v>22</v>
      </c>
    </row>
    <row r="57" spans="1:19" x14ac:dyDescent="0.3">
      <c r="A57" s="19" t="str">
        <f t="shared" si="0"/>
        <v>01</v>
      </c>
      <c r="B57" s="20" t="s">
        <v>86</v>
      </c>
      <c r="C57" s="21" t="s">
        <v>87</v>
      </c>
      <c r="D57" s="21">
        <v>80070090</v>
      </c>
      <c r="E57" s="22">
        <v>45292</v>
      </c>
      <c r="F57" s="21"/>
      <c r="G57" s="4">
        <v>0.71779999999999999</v>
      </c>
      <c r="H57" s="4">
        <f t="shared" si="1"/>
        <v>1.0613599999999996</v>
      </c>
      <c r="I57" s="4">
        <f t="shared" si="2"/>
        <v>0.99694249999999984</v>
      </c>
      <c r="J57" s="4">
        <f t="shared" si="3"/>
        <v>0.88957999999999982</v>
      </c>
      <c r="K57" s="4">
        <v>0.36559999999999998</v>
      </c>
      <c r="L57" s="4">
        <f t="shared" si="4"/>
        <v>0.63871999999999973</v>
      </c>
      <c r="M57" s="4">
        <f t="shared" si="5"/>
        <v>0.58750999999999975</v>
      </c>
      <c r="N57" s="4">
        <f t="shared" si="6"/>
        <v>0.50215999999999972</v>
      </c>
      <c r="O57" s="5">
        <v>0.2</v>
      </c>
      <c r="P57" s="6"/>
      <c r="Q57" s="6"/>
      <c r="R57" s="23" t="s">
        <v>88</v>
      </c>
      <c r="S57" s="24" t="s">
        <v>417</v>
      </c>
    </row>
    <row r="58" spans="1:19" x14ac:dyDescent="0.3">
      <c r="A58" s="19" t="str">
        <f t="shared" si="0"/>
        <v>01</v>
      </c>
      <c r="B58" s="20" t="s">
        <v>89</v>
      </c>
      <c r="C58" s="21" t="s">
        <v>90</v>
      </c>
      <c r="D58" s="21">
        <v>830120</v>
      </c>
      <c r="E58" s="22">
        <v>43592</v>
      </c>
      <c r="F58" s="22">
        <v>45291</v>
      </c>
      <c r="G58" s="4">
        <v>0.71779999999999999</v>
      </c>
      <c r="H58" s="4">
        <f t="shared" si="1"/>
        <v>1.011082926829268</v>
      </c>
      <c r="I58" s="4">
        <f t="shared" si="2"/>
        <v>0.94823658536585342</v>
      </c>
      <c r="J58" s="4">
        <f t="shared" si="3"/>
        <v>0.843492682926829</v>
      </c>
      <c r="K58" s="4">
        <v>0.36559999999999998</v>
      </c>
      <c r="L58" s="4">
        <f t="shared" si="4"/>
        <v>0.5987512195121949</v>
      </c>
      <c r="M58" s="4">
        <f t="shared" si="5"/>
        <v>0.54879024390243858</v>
      </c>
      <c r="N58" s="4">
        <f t="shared" si="6"/>
        <v>0.4655219512195119</v>
      </c>
      <c r="O58" s="5">
        <v>0.18</v>
      </c>
      <c r="P58" s="6"/>
      <c r="Q58" s="6"/>
      <c r="R58" s="23" t="s">
        <v>91</v>
      </c>
      <c r="S58" s="24" t="s">
        <v>22</v>
      </c>
    </row>
    <row r="59" spans="1:19" x14ac:dyDescent="0.3">
      <c r="A59" s="19" t="str">
        <f t="shared" si="0"/>
        <v>01</v>
      </c>
      <c r="B59" s="20" t="s">
        <v>89</v>
      </c>
      <c r="C59" s="21" t="s">
        <v>90</v>
      </c>
      <c r="D59" s="21">
        <v>830120</v>
      </c>
      <c r="E59" s="22">
        <v>45292</v>
      </c>
      <c r="F59" s="21"/>
      <c r="G59" s="4">
        <v>0.71779999999999999</v>
      </c>
      <c r="H59" s="4">
        <f t="shared" si="1"/>
        <v>1.0613599999999996</v>
      </c>
      <c r="I59" s="4">
        <f t="shared" si="2"/>
        <v>0.99694249999999984</v>
      </c>
      <c r="J59" s="4">
        <f t="shared" si="3"/>
        <v>0.88957999999999982</v>
      </c>
      <c r="K59" s="4">
        <v>0.36559999999999998</v>
      </c>
      <c r="L59" s="4">
        <f t="shared" si="4"/>
        <v>0.63871999999999973</v>
      </c>
      <c r="M59" s="4">
        <f t="shared" si="5"/>
        <v>0.58750999999999975</v>
      </c>
      <c r="N59" s="4">
        <f t="shared" si="6"/>
        <v>0.50215999999999972</v>
      </c>
      <c r="O59" s="5">
        <v>0.2</v>
      </c>
      <c r="P59" s="6"/>
      <c r="Q59" s="6"/>
      <c r="R59" s="23" t="s">
        <v>91</v>
      </c>
      <c r="S59" s="24" t="s">
        <v>417</v>
      </c>
    </row>
    <row r="60" spans="1:19" x14ac:dyDescent="0.3">
      <c r="A60" s="19" t="str">
        <f t="shared" si="0"/>
        <v>01</v>
      </c>
      <c r="B60" s="20" t="s">
        <v>89</v>
      </c>
      <c r="C60" s="21" t="s">
        <v>90</v>
      </c>
      <c r="D60" s="21">
        <v>830160</v>
      </c>
      <c r="E60" s="22">
        <v>43592</v>
      </c>
      <c r="F60" s="22">
        <v>45291</v>
      </c>
      <c r="G60" s="4">
        <v>0.71779999999999999</v>
      </c>
      <c r="H60" s="4">
        <f t="shared" si="1"/>
        <v>1.011082926829268</v>
      </c>
      <c r="I60" s="4">
        <f t="shared" si="2"/>
        <v>0.94823658536585342</v>
      </c>
      <c r="J60" s="4">
        <f t="shared" si="3"/>
        <v>0.843492682926829</v>
      </c>
      <c r="K60" s="4">
        <v>0.36559999999999998</v>
      </c>
      <c r="L60" s="4">
        <f t="shared" si="4"/>
        <v>0.5987512195121949</v>
      </c>
      <c r="M60" s="4">
        <f t="shared" si="5"/>
        <v>0.54879024390243858</v>
      </c>
      <c r="N60" s="4">
        <f t="shared" si="6"/>
        <v>0.4655219512195119</v>
      </c>
      <c r="O60" s="5">
        <v>0.18</v>
      </c>
      <c r="P60" s="6"/>
      <c r="Q60" s="6"/>
      <c r="R60" s="23" t="s">
        <v>91</v>
      </c>
      <c r="S60" s="24" t="s">
        <v>22</v>
      </c>
    </row>
    <row r="61" spans="1:19" x14ac:dyDescent="0.3">
      <c r="A61" s="19" t="str">
        <f t="shared" si="0"/>
        <v>01</v>
      </c>
      <c r="B61" s="20" t="s">
        <v>89</v>
      </c>
      <c r="C61" s="21" t="s">
        <v>90</v>
      </c>
      <c r="D61" s="21">
        <v>830160</v>
      </c>
      <c r="E61" s="22">
        <v>45292</v>
      </c>
      <c r="F61" s="21"/>
      <c r="G61" s="4">
        <v>0.71779999999999999</v>
      </c>
      <c r="H61" s="4">
        <f t="shared" si="1"/>
        <v>1.0613599999999996</v>
      </c>
      <c r="I61" s="4">
        <f t="shared" si="2"/>
        <v>0.99694249999999984</v>
      </c>
      <c r="J61" s="4">
        <f t="shared" si="3"/>
        <v>0.88957999999999982</v>
      </c>
      <c r="K61" s="4">
        <v>0.36559999999999998</v>
      </c>
      <c r="L61" s="4">
        <f t="shared" si="4"/>
        <v>0.63871999999999973</v>
      </c>
      <c r="M61" s="4">
        <f t="shared" si="5"/>
        <v>0.58750999999999975</v>
      </c>
      <c r="N61" s="4">
        <f t="shared" si="6"/>
        <v>0.50215999999999972</v>
      </c>
      <c r="O61" s="5">
        <v>0.2</v>
      </c>
      <c r="P61" s="6"/>
      <c r="Q61" s="6"/>
      <c r="R61" s="23" t="s">
        <v>91</v>
      </c>
      <c r="S61" s="24" t="s">
        <v>417</v>
      </c>
    </row>
    <row r="62" spans="1:19" x14ac:dyDescent="0.3">
      <c r="A62" s="19" t="str">
        <f t="shared" si="0"/>
        <v>01</v>
      </c>
      <c r="B62" s="20" t="s">
        <v>92</v>
      </c>
      <c r="C62" s="21" t="s">
        <v>93</v>
      </c>
      <c r="D62" s="21">
        <v>830170</v>
      </c>
      <c r="E62" s="22">
        <v>43592</v>
      </c>
      <c r="F62" s="22">
        <v>45291</v>
      </c>
      <c r="G62" s="4">
        <v>0.71779999999999999</v>
      </c>
      <c r="H62" s="4">
        <f t="shared" si="1"/>
        <v>1.011082926829268</v>
      </c>
      <c r="I62" s="4">
        <f t="shared" si="2"/>
        <v>0.94823658536585342</v>
      </c>
      <c r="J62" s="4">
        <f t="shared" si="3"/>
        <v>0.843492682926829</v>
      </c>
      <c r="K62" s="4">
        <v>0.36559999999999998</v>
      </c>
      <c r="L62" s="4">
        <f t="shared" si="4"/>
        <v>0.5987512195121949</v>
      </c>
      <c r="M62" s="4">
        <f t="shared" si="5"/>
        <v>0.54879024390243858</v>
      </c>
      <c r="N62" s="4">
        <f t="shared" si="6"/>
        <v>0.4655219512195119</v>
      </c>
      <c r="O62" s="5">
        <v>0.18</v>
      </c>
      <c r="P62" s="6"/>
      <c r="Q62" s="6"/>
      <c r="R62" s="23" t="s">
        <v>94</v>
      </c>
      <c r="S62" s="24" t="s">
        <v>22</v>
      </c>
    </row>
    <row r="63" spans="1:19" x14ac:dyDescent="0.3">
      <c r="A63" s="19" t="str">
        <f t="shared" si="0"/>
        <v>01</v>
      </c>
      <c r="B63" s="20" t="s">
        <v>92</v>
      </c>
      <c r="C63" s="21" t="s">
        <v>93</v>
      </c>
      <c r="D63" s="21">
        <v>830170</v>
      </c>
      <c r="E63" s="22">
        <v>45292</v>
      </c>
      <c r="F63" s="21"/>
      <c r="G63" s="4">
        <v>0.71779999999999999</v>
      </c>
      <c r="H63" s="4">
        <f t="shared" si="1"/>
        <v>1.0613599999999996</v>
      </c>
      <c r="I63" s="4">
        <f t="shared" si="2"/>
        <v>0.99694249999999984</v>
      </c>
      <c r="J63" s="4">
        <f t="shared" si="3"/>
        <v>0.88957999999999982</v>
      </c>
      <c r="K63" s="4">
        <v>0.36559999999999998</v>
      </c>
      <c r="L63" s="4">
        <f t="shared" si="4"/>
        <v>0.63871999999999973</v>
      </c>
      <c r="M63" s="4">
        <f t="shared" si="5"/>
        <v>0.58750999999999975</v>
      </c>
      <c r="N63" s="4">
        <f t="shared" si="6"/>
        <v>0.50215999999999972</v>
      </c>
      <c r="O63" s="5">
        <v>0.2</v>
      </c>
      <c r="P63" s="6"/>
      <c r="Q63" s="6"/>
      <c r="R63" s="23" t="s">
        <v>94</v>
      </c>
      <c r="S63" s="24" t="s">
        <v>417</v>
      </c>
    </row>
    <row r="64" spans="1:19" x14ac:dyDescent="0.3">
      <c r="A64" s="19" t="str">
        <f t="shared" si="0"/>
        <v>01</v>
      </c>
      <c r="B64" s="20" t="s">
        <v>95</v>
      </c>
      <c r="C64" s="21" t="s">
        <v>96</v>
      </c>
      <c r="D64" s="21">
        <v>83021000</v>
      </c>
      <c r="E64" s="22">
        <v>43592</v>
      </c>
      <c r="F64" s="22">
        <v>45291</v>
      </c>
      <c r="G64" s="4">
        <v>0.71779999999999999</v>
      </c>
      <c r="H64" s="4">
        <f t="shared" si="1"/>
        <v>1.011082926829268</v>
      </c>
      <c r="I64" s="4">
        <f t="shared" si="2"/>
        <v>0.94823658536585342</v>
      </c>
      <c r="J64" s="4">
        <f t="shared" si="3"/>
        <v>0.843492682926829</v>
      </c>
      <c r="K64" s="4">
        <v>0.36559999999999998</v>
      </c>
      <c r="L64" s="4">
        <f t="shared" si="4"/>
        <v>0.5987512195121949</v>
      </c>
      <c r="M64" s="4">
        <f t="shared" si="5"/>
        <v>0.54879024390243858</v>
      </c>
      <c r="N64" s="4">
        <f t="shared" si="6"/>
        <v>0.4655219512195119</v>
      </c>
      <c r="O64" s="5">
        <v>0.18</v>
      </c>
      <c r="P64" s="6"/>
      <c r="Q64" s="6"/>
      <c r="R64" s="23" t="s">
        <v>97</v>
      </c>
      <c r="S64" s="24" t="s">
        <v>22</v>
      </c>
    </row>
    <row r="65" spans="1:19" x14ac:dyDescent="0.3">
      <c r="A65" s="19" t="str">
        <f t="shared" si="0"/>
        <v>01</v>
      </c>
      <c r="B65" s="20" t="s">
        <v>95</v>
      </c>
      <c r="C65" s="21" t="s">
        <v>96</v>
      </c>
      <c r="D65" s="21">
        <v>83021000</v>
      </c>
      <c r="E65" s="22">
        <v>45292</v>
      </c>
      <c r="F65" s="21"/>
      <c r="G65" s="4">
        <v>0.71779999999999999</v>
      </c>
      <c r="H65" s="4">
        <f t="shared" si="1"/>
        <v>1.0613599999999996</v>
      </c>
      <c r="I65" s="4">
        <f t="shared" si="2"/>
        <v>0.99694249999999984</v>
      </c>
      <c r="J65" s="4">
        <f t="shared" si="3"/>
        <v>0.88957999999999982</v>
      </c>
      <c r="K65" s="4">
        <v>0.36559999999999998</v>
      </c>
      <c r="L65" s="4">
        <f t="shared" si="4"/>
        <v>0.63871999999999973</v>
      </c>
      <c r="M65" s="4">
        <f t="shared" si="5"/>
        <v>0.58750999999999975</v>
      </c>
      <c r="N65" s="4">
        <f t="shared" si="6"/>
        <v>0.50215999999999972</v>
      </c>
      <c r="O65" s="5">
        <v>0.2</v>
      </c>
      <c r="P65" s="6"/>
      <c r="Q65" s="6"/>
      <c r="R65" s="23" t="s">
        <v>97</v>
      </c>
      <c r="S65" s="24" t="s">
        <v>417</v>
      </c>
    </row>
    <row r="66" spans="1:19" x14ac:dyDescent="0.3">
      <c r="A66" s="19" t="str">
        <f t="shared" ref="A66:A129" si="7">LEFT(C66,2)</f>
        <v>01</v>
      </c>
      <c r="B66" s="20" t="s">
        <v>95</v>
      </c>
      <c r="C66" s="21" t="s">
        <v>96</v>
      </c>
      <c r="D66" s="21">
        <v>83023000</v>
      </c>
      <c r="E66" s="22">
        <v>43592</v>
      </c>
      <c r="F66" s="22">
        <v>45291</v>
      </c>
      <c r="G66" s="4">
        <v>0.71779999999999999</v>
      </c>
      <c r="H66" s="4">
        <f t="shared" ref="H66:H129" si="8">((1+$G66)*(1-4%)/(1-$O66))-1</f>
        <v>1.011082926829268</v>
      </c>
      <c r="I66" s="4">
        <f t="shared" ref="I66:I129" si="9">((1+$G66)*(1-7%)/(1-$O66))-1</f>
        <v>0.94823658536585342</v>
      </c>
      <c r="J66" s="4">
        <f t="shared" ref="J66:J129" si="10">((1+$G66)*(1-12%)/(1-$O66))-1</f>
        <v>0.843492682926829</v>
      </c>
      <c r="K66" s="4">
        <v>0.36559999999999998</v>
      </c>
      <c r="L66" s="4">
        <f t="shared" ref="L66:L129" si="11">((1+$K66)*(1-4%)/(1-$O66))-1</f>
        <v>0.5987512195121949</v>
      </c>
      <c r="M66" s="4">
        <f t="shared" ref="M66:M129" si="12">((1+$K66)*(1-7%)/(1-$O66))-1</f>
        <v>0.54879024390243858</v>
      </c>
      <c r="N66" s="4">
        <f t="shared" ref="N66:N129" si="13">((1+$K66)*(1-12%)/(1-$O66))-1</f>
        <v>0.4655219512195119</v>
      </c>
      <c r="O66" s="5">
        <v>0.18</v>
      </c>
      <c r="P66" s="6"/>
      <c r="Q66" s="6"/>
      <c r="R66" s="23" t="s">
        <v>97</v>
      </c>
      <c r="S66" s="24" t="s">
        <v>22</v>
      </c>
    </row>
    <row r="67" spans="1:19" x14ac:dyDescent="0.3">
      <c r="A67" s="19" t="str">
        <f t="shared" si="7"/>
        <v>01</v>
      </c>
      <c r="B67" s="20" t="s">
        <v>95</v>
      </c>
      <c r="C67" s="21" t="s">
        <v>96</v>
      </c>
      <c r="D67" s="21">
        <v>83023000</v>
      </c>
      <c r="E67" s="22">
        <v>45292</v>
      </c>
      <c r="F67" s="21"/>
      <c r="G67" s="4">
        <v>0.71779999999999999</v>
      </c>
      <c r="H67" s="4">
        <f t="shared" si="8"/>
        <v>1.0613599999999996</v>
      </c>
      <c r="I67" s="4">
        <f t="shared" si="9"/>
        <v>0.99694249999999984</v>
      </c>
      <c r="J67" s="4">
        <f t="shared" si="10"/>
        <v>0.88957999999999982</v>
      </c>
      <c r="K67" s="4">
        <v>0.36559999999999998</v>
      </c>
      <c r="L67" s="4">
        <f t="shared" si="11"/>
        <v>0.63871999999999973</v>
      </c>
      <c r="M67" s="4">
        <f t="shared" si="12"/>
        <v>0.58750999999999975</v>
      </c>
      <c r="N67" s="4">
        <f t="shared" si="13"/>
        <v>0.50215999999999972</v>
      </c>
      <c r="O67" s="5">
        <v>0.2</v>
      </c>
      <c r="P67" s="6"/>
      <c r="Q67" s="6"/>
      <c r="R67" s="23" t="s">
        <v>97</v>
      </c>
      <c r="S67" s="24" t="s">
        <v>417</v>
      </c>
    </row>
    <row r="68" spans="1:19" x14ac:dyDescent="0.3">
      <c r="A68" s="19" t="str">
        <f t="shared" si="7"/>
        <v>01</v>
      </c>
      <c r="B68" s="20" t="s">
        <v>98</v>
      </c>
      <c r="C68" s="21" t="s">
        <v>99</v>
      </c>
      <c r="D68" s="21">
        <v>831000</v>
      </c>
      <c r="E68" s="22">
        <v>43592</v>
      </c>
      <c r="F68" s="22">
        <v>45291</v>
      </c>
      <c r="G68" s="4">
        <v>0.71779999999999999</v>
      </c>
      <c r="H68" s="4">
        <f t="shared" si="8"/>
        <v>1.011082926829268</v>
      </c>
      <c r="I68" s="4">
        <f t="shared" si="9"/>
        <v>0.94823658536585342</v>
      </c>
      <c r="J68" s="4">
        <f t="shared" si="10"/>
        <v>0.843492682926829</v>
      </c>
      <c r="K68" s="4">
        <v>0.36559999999999998</v>
      </c>
      <c r="L68" s="4">
        <f t="shared" si="11"/>
        <v>0.5987512195121949</v>
      </c>
      <c r="M68" s="4">
        <f t="shared" si="12"/>
        <v>0.54879024390243858</v>
      </c>
      <c r="N68" s="4">
        <f t="shared" si="13"/>
        <v>0.4655219512195119</v>
      </c>
      <c r="O68" s="5">
        <v>0.18</v>
      </c>
      <c r="P68" s="6"/>
      <c r="Q68" s="6"/>
      <c r="R68" s="23" t="s">
        <v>100</v>
      </c>
      <c r="S68" s="24" t="s">
        <v>22</v>
      </c>
    </row>
    <row r="69" spans="1:19" x14ac:dyDescent="0.3">
      <c r="A69" s="19" t="str">
        <f t="shared" si="7"/>
        <v>01</v>
      </c>
      <c r="B69" s="20" t="s">
        <v>98</v>
      </c>
      <c r="C69" s="21" t="s">
        <v>99</v>
      </c>
      <c r="D69" s="21">
        <v>831000</v>
      </c>
      <c r="E69" s="22">
        <v>45292</v>
      </c>
      <c r="F69" s="21"/>
      <c r="G69" s="4">
        <v>0.71779999999999999</v>
      </c>
      <c r="H69" s="4">
        <f t="shared" si="8"/>
        <v>1.0613599999999996</v>
      </c>
      <c r="I69" s="4">
        <f t="shared" si="9"/>
        <v>0.99694249999999984</v>
      </c>
      <c r="J69" s="4">
        <f t="shared" si="10"/>
        <v>0.88957999999999982</v>
      </c>
      <c r="K69" s="4">
        <v>0.36559999999999998</v>
      </c>
      <c r="L69" s="4">
        <f t="shared" si="11"/>
        <v>0.63871999999999973</v>
      </c>
      <c r="M69" s="4">
        <f t="shared" si="12"/>
        <v>0.58750999999999975</v>
      </c>
      <c r="N69" s="4">
        <f t="shared" si="13"/>
        <v>0.50215999999999972</v>
      </c>
      <c r="O69" s="5">
        <v>0.2</v>
      </c>
      <c r="P69" s="6"/>
      <c r="Q69" s="6"/>
      <c r="R69" s="23" t="s">
        <v>100</v>
      </c>
      <c r="S69" s="24" t="s">
        <v>417</v>
      </c>
    </row>
    <row r="70" spans="1:19" x14ac:dyDescent="0.3">
      <c r="A70" s="19" t="str">
        <f t="shared" si="7"/>
        <v>01</v>
      </c>
      <c r="B70" s="20" t="s">
        <v>101</v>
      </c>
      <c r="C70" s="21" t="s">
        <v>102</v>
      </c>
      <c r="D70" s="21">
        <v>84073</v>
      </c>
      <c r="E70" s="22">
        <v>43592</v>
      </c>
      <c r="F70" s="22">
        <v>45291</v>
      </c>
      <c r="G70" s="4">
        <v>0.71779999999999999</v>
      </c>
      <c r="H70" s="4">
        <f t="shared" si="8"/>
        <v>1.011082926829268</v>
      </c>
      <c r="I70" s="4">
        <f t="shared" si="9"/>
        <v>0.94823658536585342</v>
      </c>
      <c r="J70" s="4">
        <f t="shared" si="10"/>
        <v>0.843492682926829</v>
      </c>
      <c r="K70" s="4">
        <v>0.36559999999999998</v>
      </c>
      <c r="L70" s="4">
        <f t="shared" si="11"/>
        <v>0.5987512195121949</v>
      </c>
      <c r="M70" s="4">
        <f t="shared" si="12"/>
        <v>0.54879024390243858</v>
      </c>
      <c r="N70" s="4">
        <f t="shared" si="13"/>
        <v>0.4655219512195119</v>
      </c>
      <c r="O70" s="5">
        <v>0.18</v>
      </c>
      <c r="P70" s="6"/>
      <c r="Q70" s="6"/>
      <c r="R70" s="23" t="s">
        <v>103</v>
      </c>
      <c r="S70" s="24" t="s">
        <v>22</v>
      </c>
    </row>
    <row r="71" spans="1:19" x14ac:dyDescent="0.3">
      <c r="A71" s="19" t="str">
        <f t="shared" si="7"/>
        <v>01</v>
      </c>
      <c r="B71" s="20" t="s">
        <v>101</v>
      </c>
      <c r="C71" s="21" t="s">
        <v>102</v>
      </c>
      <c r="D71" s="21">
        <v>84073</v>
      </c>
      <c r="E71" s="22">
        <v>45292</v>
      </c>
      <c r="F71" s="21"/>
      <c r="G71" s="4">
        <v>0.71779999999999999</v>
      </c>
      <c r="H71" s="4">
        <f t="shared" si="8"/>
        <v>1.0613599999999996</v>
      </c>
      <c r="I71" s="4">
        <f t="shared" si="9"/>
        <v>0.99694249999999984</v>
      </c>
      <c r="J71" s="4">
        <f t="shared" si="10"/>
        <v>0.88957999999999982</v>
      </c>
      <c r="K71" s="4">
        <v>0.36559999999999998</v>
      </c>
      <c r="L71" s="4">
        <f t="shared" si="11"/>
        <v>0.63871999999999973</v>
      </c>
      <c r="M71" s="4">
        <f t="shared" si="12"/>
        <v>0.58750999999999975</v>
      </c>
      <c r="N71" s="4">
        <f t="shared" si="13"/>
        <v>0.50215999999999972</v>
      </c>
      <c r="O71" s="5">
        <v>0.2</v>
      </c>
      <c r="P71" s="6"/>
      <c r="Q71" s="6"/>
      <c r="R71" s="23" t="s">
        <v>103</v>
      </c>
      <c r="S71" s="24" t="s">
        <v>417</v>
      </c>
    </row>
    <row r="72" spans="1:19" x14ac:dyDescent="0.3">
      <c r="A72" s="19" t="str">
        <f t="shared" si="7"/>
        <v>01</v>
      </c>
      <c r="B72" s="20" t="s">
        <v>104</v>
      </c>
      <c r="C72" s="21" t="s">
        <v>105</v>
      </c>
      <c r="D72" s="21">
        <v>840820</v>
      </c>
      <c r="E72" s="22">
        <v>43592</v>
      </c>
      <c r="F72" s="22">
        <v>45291</v>
      </c>
      <c r="G72" s="4">
        <v>0.71779999999999999</v>
      </c>
      <c r="H72" s="4">
        <f t="shared" si="8"/>
        <v>1.011082926829268</v>
      </c>
      <c r="I72" s="4">
        <f t="shared" si="9"/>
        <v>0.94823658536585342</v>
      </c>
      <c r="J72" s="4">
        <f t="shared" si="10"/>
        <v>0.843492682926829</v>
      </c>
      <c r="K72" s="4">
        <v>0.36559999999999998</v>
      </c>
      <c r="L72" s="4">
        <f t="shared" si="11"/>
        <v>0.5987512195121949</v>
      </c>
      <c r="M72" s="4">
        <f t="shared" si="12"/>
        <v>0.54879024390243858</v>
      </c>
      <c r="N72" s="4">
        <f t="shared" si="13"/>
        <v>0.4655219512195119</v>
      </c>
      <c r="O72" s="5">
        <v>0.18</v>
      </c>
      <c r="P72" s="6"/>
      <c r="Q72" s="6"/>
      <c r="R72" s="23" t="s">
        <v>106</v>
      </c>
      <c r="S72" s="24" t="s">
        <v>22</v>
      </c>
    </row>
    <row r="73" spans="1:19" s="25" customFormat="1" x14ac:dyDescent="0.3">
      <c r="A73" s="19" t="str">
        <f t="shared" si="7"/>
        <v>01</v>
      </c>
      <c r="B73" s="20" t="s">
        <v>104</v>
      </c>
      <c r="C73" s="21" t="s">
        <v>105</v>
      </c>
      <c r="D73" s="21">
        <v>840820</v>
      </c>
      <c r="E73" s="22">
        <v>45292</v>
      </c>
      <c r="F73" s="21"/>
      <c r="G73" s="4">
        <v>0.71779999999999999</v>
      </c>
      <c r="H73" s="4">
        <f t="shared" si="8"/>
        <v>1.0613599999999996</v>
      </c>
      <c r="I73" s="4">
        <f t="shared" si="9"/>
        <v>0.99694249999999984</v>
      </c>
      <c r="J73" s="4">
        <f t="shared" si="10"/>
        <v>0.88957999999999982</v>
      </c>
      <c r="K73" s="4">
        <v>0.36559999999999998</v>
      </c>
      <c r="L73" s="4">
        <f t="shared" si="11"/>
        <v>0.63871999999999973</v>
      </c>
      <c r="M73" s="4">
        <f t="shared" si="12"/>
        <v>0.58750999999999975</v>
      </c>
      <c r="N73" s="4">
        <f t="shared" si="13"/>
        <v>0.50215999999999972</v>
      </c>
      <c r="O73" s="5">
        <v>0.2</v>
      </c>
      <c r="P73" s="6"/>
      <c r="Q73" s="6"/>
      <c r="R73" s="23" t="s">
        <v>106</v>
      </c>
      <c r="S73" s="24" t="s">
        <v>417</v>
      </c>
    </row>
    <row r="74" spans="1:19" s="25" customFormat="1" x14ac:dyDescent="0.3">
      <c r="A74" s="19" t="str">
        <f t="shared" si="7"/>
        <v>01</v>
      </c>
      <c r="B74" s="20" t="s">
        <v>107</v>
      </c>
      <c r="C74" s="21" t="s">
        <v>108</v>
      </c>
      <c r="D74" s="21">
        <v>84099</v>
      </c>
      <c r="E74" s="22">
        <v>43592</v>
      </c>
      <c r="F74" s="22">
        <v>45291</v>
      </c>
      <c r="G74" s="4">
        <v>0.71779999999999999</v>
      </c>
      <c r="H74" s="4">
        <f t="shared" si="8"/>
        <v>1.011082926829268</v>
      </c>
      <c r="I74" s="4">
        <f t="shared" si="9"/>
        <v>0.94823658536585342</v>
      </c>
      <c r="J74" s="4">
        <f t="shared" si="10"/>
        <v>0.843492682926829</v>
      </c>
      <c r="K74" s="4">
        <v>0.36559999999999998</v>
      </c>
      <c r="L74" s="4">
        <f t="shared" si="11"/>
        <v>0.5987512195121949</v>
      </c>
      <c r="M74" s="4">
        <f t="shared" si="12"/>
        <v>0.54879024390243858</v>
      </c>
      <c r="N74" s="4">
        <f t="shared" si="13"/>
        <v>0.4655219512195119</v>
      </c>
      <c r="O74" s="5">
        <v>0.18</v>
      </c>
      <c r="P74" s="6"/>
      <c r="Q74" s="6"/>
      <c r="R74" s="23" t="s">
        <v>109</v>
      </c>
      <c r="S74" s="24" t="s">
        <v>22</v>
      </c>
    </row>
    <row r="75" spans="1:19" x14ac:dyDescent="0.3">
      <c r="A75" s="19" t="str">
        <f t="shared" si="7"/>
        <v>01</v>
      </c>
      <c r="B75" s="20" t="s">
        <v>107</v>
      </c>
      <c r="C75" s="21" t="s">
        <v>108</v>
      </c>
      <c r="D75" s="21">
        <v>84099</v>
      </c>
      <c r="E75" s="22">
        <v>45292</v>
      </c>
      <c r="F75" s="21"/>
      <c r="G75" s="4">
        <v>0.71779999999999999</v>
      </c>
      <c r="H75" s="4">
        <f t="shared" si="8"/>
        <v>1.0613599999999996</v>
      </c>
      <c r="I75" s="4">
        <f t="shared" si="9"/>
        <v>0.99694249999999984</v>
      </c>
      <c r="J75" s="4">
        <f t="shared" si="10"/>
        <v>0.88957999999999982</v>
      </c>
      <c r="K75" s="4">
        <v>0.36559999999999998</v>
      </c>
      <c r="L75" s="4">
        <f t="shared" si="11"/>
        <v>0.63871999999999973</v>
      </c>
      <c r="M75" s="4">
        <f t="shared" si="12"/>
        <v>0.58750999999999975</v>
      </c>
      <c r="N75" s="4">
        <f t="shared" si="13"/>
        <v>0.50215999999999972</v>
      </c>
      <c r="O75" s="5">
        <v>0.2</v>
      </c>
      <c r="P75" s="6"/>
      <c r="Q75" s="6"/>
      <c r="R75" s="23" t="s">
        <v>109</v>
      </c>
      <c r="S75" s="24" t="s">
        <v>417</v>
      </c>
    </row>
    <row r="76" spans="1:19" x14ac:dyDescent="0.3">
      <c r="A76" s="19" t="str">
        <f t="shared" si="7"/>
        <v>01</v>
      </c>
      <c r="B76" s="20" t="s">
        <v>110</v>
      </c>
      <c r="C76" s="21" t="s">
        <v>111</v>
      </c>
      <c r="D76" s="21">
        <v>84122</v>
      </c>
      <c r="E76" s="22">
        <v>43592</v>
      </c>
      <c r="F76" s="22">
        <v>45291</v>
      </c>
      <c r="G76" s="4">
        <v>0.71779999999999999</v>
      </c>
      <c r="H76" s="4">
        <f t="shared" si="8"/>
        <v>1.011082926829268</v>
      </c>
      <c r="I76" s="4">
        <f t="shared" si="9"/>
        <v>0.94823658536585342</v>
      </c>
      <c r="J76" s="4">
        <f t="shared" si="10"/>
        <v>0.843492682926829</v>
      </c>
      <c r="K76" s="4">
        <v>0.36559999999999998</v>
      </c>
      <c r="L76" s="4">
        <f t="shared" si="11"/>
        <v>0.5987512195121949</v>
      </c>
      <c r="M76" s="4">
        <f t="shared" si="12"/>
        <v>0.54879024390243858</v>
      </c>
      <c r="N76" s="4">
        <f t="shared" si="13"/>
        <v>0.4655219512195119</v>
      </c>
      <c r="O76" s="5">
        <v>0.18</v>
      </c>
      <c r="P76" s="6"/>
      <c r="Q76" s="6"/>
      <c r="R76" s="23" t="s">
        <v>112</v>
      </c>
      <c r="S76" s="24" t="s">
        <v>22</v>
      </c>
    </row>
    <row r="77" spans="1:19" x14ac:dyDescent="0.3">
      <c r="A77" s="19" t="str">
        <f t="shared" si="7"/>
        <v>01</v>
      </c>
      <c r="B77" s="20" t="s">
        <v>110</v>
      </c>
      <c r="C77" s="21" t="s">
        <v>111</v>
      </c>
      <c r="D77" s="21">
        <v>84122</v>
      </c>
      <c r="E77" s="22">
        <v>45292</v>
      </c>
      <c r="F77" s="21"/>
      <c r="G77" s="4">
        <v>0.71779999999999999</v>
      </c>
      <c r="H77" s="4">
        <f t="shared" si="8"/>
        <v>1.0613599999999996</v>
      </c>
      <c r="I77" s="4">
        <f t="shared" si="9"/>
        <v>0.99694249999999984</v>
      </c>
      <c r="J77" s="4">
        <f t="shared" si="10"/>
        <v>0.88957999999999982</v>
      </c>
      <c r="K77" s="4">
        <v>0.36559999999999998</v>
      </c>
      <c r="L77" s="4">
        <f t="shared" si="11"/>
        <v>0.63871999999999973</v>
      </c>
      <c r="M77" s="4">
        <f t="shared" si="12"/>
        <v>0.58750999999999975</v>
      </c>
      <c r="N77" s="4">
        <f t="shared" si="13"/>
        <v>0.50215999999999972</v>
      </c>
      <c r="O77" s="5">
        <v>0.2</v>
      </c>
      <c r="P77" s="6"/>
      <c r="Q77" s="6"/>
      <c r="R77" s="23" t="s">
        <v>112</v>
      </c>
      <c r="S77" s="24" t="s">
        <v>417</v>
      </c>
    </row>
    <row r="78" spans="1:19" x14ac:dyDescent="0.3">
      <c r="A78" s="19" t="str">
        <f t="shared" si="7"/>
        <v>01</v>
      </c>
      <c r="B78" s="20" t="s">
        <v>113</v>
      </c>
      <c r="C78" s="21" t="s">
        <v>114</v>
      </c>
      <c r="D78" s="21">
        <v>841330</v>
      </c>
      <c r="E78" s="22">
        <v>43592</v>
      </c>
      <c r="F78" s="22">
        <v>45291</v>
      </c>
      <c r="G78" s="4">
        <v>0.71779999999999999</v>
      </c>
      <c r="H78" s="4">
        <f t="shared" si="8"/>
        <v>1.011082926829268</v>
      </c>
      <c r="I78" s="4">
        <f t="shared" si="9"/>
        <v>0.94823658536585342</v>
      </c>
      <c r="J78" s="4">
        <f t="shared" si="10"/>
        <v>0.843492682926829</v>
      </c>
      <c r="K78" s="4">
        <v>0.36559999999999998</v>
      </c>
      <c r="L78" s="4">
        <f t="shared" si="11"/>
        <v>0.5987512195121949</v>
      </c>
      <c r="M78" s="4">
        <f t="shared" si="12"/>
        <v>0.54879024390243858</v>
      </c>
      <c r="N78" s="4">
        <f t="shared" si="13"/>
        <v>0.4655219512195119</v>
      </c>
      <c r="O78" s="5">
        <v>0.18</v>
      </c>
      <c r="P78" s="6"/>
      <c r="Q78" s="6"/>
      <c r="R78" s="23" t="s">
        <v>115</v>
      </c>
      <c r="S78" s="24" t="s">
        <v>22</v>
      </c>
    </row>
    <row r="79" spans="1:19" x14ac:dyDescent="0.3">
      <c r="A79" s="19" t="str">
        <f t="shared" si="7"/>
        <v>01</v>
      </c>
      <c r="B79" s="20" t="s">
        <v>113</v>
      </c>
      <c r="C79" s="21" t="s">
        <v>114</v>
      </c>
      <c r="D79" s="21">
        <v>841330</v>
      </c>
      <c r="E79" s="22">
        <v>45292</v>
      </c>
      <c r="F79" s="21"/>
      <c r="G79" s="4">
        <v>0.71779999999999999</v>
      </c>
      <c r="H79" s="4">
        <f t="shared" si="8"/>
        <v>1.0613599999999996</v>
      </c>
      <c r="I79" s="4">
        <f t="shared" si="9"/>
        <v>0.99694249999999984</v>
      </c>
      <c r="J79" s="4">
        <f t="shared" si="10"/>
        <v>0.88957999999999982</v>
      </c>
      <c r="K79" s="4">
        <v>0.36559999999999998</v>
      </c>
      <c r="L79" s="4">
        <f t="shared" si="11"/>
        <v>0.63871999999999973</v>
      </c>
      <c r="M79" s="4">
        <f t="shared" si="12"/>
        <v>0.58750999999999975</v>
      </c>
      <c r="N79" s="4">
        <f t="shared" si="13"/>
        <v>0.50215999999999972</v>
      </c>
      <c r="O79" s="5">
        <v>0.2</v>
      </c>
      <c r="P79" s="6"/>
      <c r="Q79" s="6"/>
      <c r="R79" s="23" t="s">
        <v>115</v>
      </c>
      <c r="S79" s="24" t="s">
        <v>417</v>
      </c>
    </row>
    <row r="80" spans="1:19" x14ac:dyDescent="0.3">
      <c r="A80" s="19" t="str">
        <f t="shared" si="7"/>
        <v>01</v>
      </c>
      <c r="B80" s="20" t="s">
        <v>116</v>
      </c>
      <c r="C80" s="21" t="s">
        <v>117</v>
      </c>
      <c r="D80" s="21">
        <v>84141000</v>
      </c>
      <c r="E80" s="22">
        <v>43592</v>
      </c>
      <c r="F80" s="22">
        <v>45291</v>
      </c>
      <c r="G80" s="4">
        <v>0.71779999999999999</v>
      </c>
      <c r="H80" s="4">
        <f t="shared" si="8"/>
        <v>1.011082926829268</v>
      </c>
      <c r="I80" s="4">
        <f t="shared" si="9"/>
        <v>0.94823658536585342</v>
      </c>
      <c r="J80" s="4">
        <f t="shared" si="10"/>
        <v>0.843492682926829</v>
      </c>
      <c r="K80" s="4">
        <v>0.36559999999999998</v>
      </c>
      <c r="L80" s="4">
        <f t="shared" si="11"/>
        <v>0.5987512195121949</v>
      </c>
      <c r="M80" s="4">
        <f t="shared" si="12"/>
        <v>0.54879024390243858</v>
      </c>
      <c r="N80" s="4">
        <f t="shared" si="13"/>
        <v>0.4655219512195119</v>
      </c>
      <c r="O80" s="5">
        <v>0.18</v>
      </c>
      <c r="P80" s="6"/>
      <c r="Q80" s="6"/>
      <c r="R80" s="23" t="s">
        <v>118</v>
      </c>
      <c r="S80" s="24" t="s">
        <v>22</v>
      </c>
    </row>
    <row r="81" spans="1:19" x14ac:dyDescent="0.3">
      <c r="A81" s="19" t="str">
        <f t="shared" si="7"/>
        <v>01</v>
      </c>
      <c r="B81" s="20" t="s">
        <v>116</v>
      </c>
      <c r="C81" s="21" t="s">
        <v>117</v>
      </c>
      <c r="D81" s="21">
        <v>84141000</v>
      </c>
      <c r="E81" s="22">
        <v>45292</v>
      </c>
      <c r="F81" s="21"/>
      <c r="G81" s="4">
        <v>0.71779999999999999</v>
      </c>
      <c r="H81" s="4">
        <f t="shared" si="8"/>
        <v>1.0613599999999996</v>
      </c>
      <c r="I81" s="4">
        <f t="shared" si="9"/>
        <v>0.99694249999999984</v>
      </c>
      <c r="J81" s="4">
        <f t="shared" si="10"/>
        <v>0.88957999999999982</v>
      </c>
      <c r="K81" s="4">
        <v>0.36559999999999998</v>
      </c>
      <c r="L81" s="4">
        <f t="shared" si="11"/>
        <v>0.63871999999999973</v>
      </c>
      <c r="M81" s="4">
        <f t="shared" si="12"/>
        <v>0.58750999999999975</v>
      </c>
      <c r="N81" s="4">
        <f t="shared" si="13"/>
        <v>0.50215999999999972</v>
      </c>
      <c r="O81" s="5">
        <v>0.2</v>
      </c>
      <c r="P81" s="6"/>
      <c r="Q81" s="6"/>
      <c r="R81" s="23" t="s">
        <v>118</v>
      </c>
      <c r="S81" s="24" t="s">
        <v>417</v>
      </c>
    </row>
    <row r="82" spans="1:19" ht="12.75" customHeight="1" x14ac:dyDescent="0.3">
      <c r="A82" s="19" t="str">
        <f t="shared" si="7"/>
        <v>01</v>
      </c>
      <c r="B82" s="20" t="s">
        <v>119</v>
      </c>
      <c r="C82" s="21" t="s">
        <v>120</v>
      </c>
      <c r="D82" s="21">
        <v>8414801</v>
      </c>
      <c r="E82" s="22">
        <v>43592</v>
      </c>
      <c r="F82" s="22">
        <v>45291</v>
      </c>
      <c r="G82" s="4">
        <v>0.71779999999999999</v>
      </c>
      <c r="H82" s="4">
        <f t="shared" si="8"/>
        <v>1.011082926829268</v>
      </c>
      <c r="I82" s="4">
        <f t="shared" si="9"/>
        <v>0.94823658536585342</v>
      </c>
      <c r="J82" s="4">
        <f t="shared" si="10"/>
        <v>0.843492682926829</v>
      </c>
      <c r="K82" s="4">
        <v>0.36559999999999998</v>
      </c>
      <c r="L82" s="4">
        <f t="shared" si="11"/>
        <v>0.5987512195121949</v>
      </c>
      <c r="M82" s="4">
        <f t="shared" si="12"/>
        <v>0.54879024390243858</v>
      </c>
      <c r="N82" s="4">
        <f t="shared" si="13"/>
        <v>0.4655219512195119</v>
      </c>
      <c r="O82" s="5">
        <v>0.18</v>
      </c>
      <c r="P82" s="6"/>
      <c r="Q82" s="6"/>
      <c r="R82" s="23" t="s">
        <v>121</v>
      </c>
      <c r="S82" s="24" t="s">
        <v>22</v>
      </c>
    </row>
    <row r="83" spans="1:19" s="25" customFormat="1" x14ac:dyDescent="0.3">
      <c r="A83" s="19" t="str">
        <f t="shared" si="7"/>
        <v>01</v>
      </c>
      <c r="B83" s="20" t="s">
        <v>119</v>
      </c>
      <c r="C83" s="21" t="s">
        <v>120</v>
      </c>
      <c r="D83" s="21">
        <v>8414801</v>
      </c>
      <c r="E83" s="22">
        <v>45292</v>
      </c>
      <c r="F83" s="21"/>
      <c r="G83" s="4">
        <v>0.71779999999999999</v>
      </c>
      <c r="H83" s="4">
        <f t="shared" si="8"/>
        <v>1.0613599999999996</v>
      </c>
      <c r="I83" s="4">
        <f t="shared" si="9"/>
        <v>0.99694249999999984</v>
      </c>
      <c r="J83" s="4">
        <f t="shared" si="10"/>
        <v>0.88957999999999982</v>
      </c>
      <c r="K83" s="4">
        <v>0.36559999999999998</v>
      </c>
      <c r="L83" s="4">
        <f t="shared" si="11"/>
        <v>0.63871999999999973</v>
      </c>
      <c r="M83" s="4">
        <f t="shared" si="12"/>
        <v>0.58750999999999975</v>
      </c>
      <c r="N83" s="4">
        <f t="shared" si="13"/>
        <v>0.50215999999999972</v>
      </c>
      <c r="O83" s="5">
        <v>0.2</v>
      </c>
      <c r="P83" s="6"/>
      <c r="Q83" s="6"/>
      <c r="R83" s="23" t="s">
        <v>121</v>
      </c>
      <c r="S83" s="24" t="s">
        <v>417</v>
      </c>
    </row>
    <row r="84" spans="1:19" s="25" customFormat="1" x14ac:dyDescent="0.3">
      <c r="A84" s="19" t="str">
        <f t="shared" si="7"/>
        <v>01</v>
      </c>
      <c r="B84" s="20" t="s">
        <v>119</v>
      </c>
      <c r="C84" s="21" t="s">
        <v>120</v>
      </c>
      <c r="D84" s="21">
        <v>8414802</v>
      </c>
      <c r="E84" s="22">
        <v>43592</v>
      </c>
      <c r="F84" s="22">
        <v>45291</v>
      </c>
      <c r="G84" s="4">
        <v>0.71779999999999999</v>
      </c>
      <c r="H84" s="4">
        <f t="shared" si="8"/>
        <v>1.011082926829268</v>
      </c>
      <c r="I84" s="4">
        <f t="shared" si="9"/>
        <v>0.94823658536585342</v>
      </c>
      <c r="J84" s="4">
        <f t="shared" si="10"/>
        <v>0.843492682926829</v>
      </c>
      <c r="K84" s="4">
        <v>0.36559999999999998</v>
      </c>
      <c r="L84" s="4">
        <f t="shared" si="11"/>
        <v>0.5987512195121949</v>
      </c>
      <c r="M84" s="4">
        <f t="shared" si="12"/>
        <v>0.54879024390243858</v>
      </c>
      <c r="N84" s="4">
        <f t="shared" si="13"/>
        <v>0.4655219512195119</v>
      </c>
      <c r="O84" s="5">
        <v>0.18</v>
      </c>
      <c r="P84" s="6"/>
      <c r="Q84" s="6"/>
      <c r="R84" s="23" t="s">
        <v>121</v>
      </c>
      <c r="S84" s="24" t="s">
        <v>22</v>
      </c>
    </row>
    <row r="85" spans="1:19" x14ac:dyDescent="0.3">
      <c r="A85" s="19" t="str">
        <f t="shared" si="7"/>
        <v>01</v>
      </c>
      <c r="B85" s="20" t="s">
        <v>119</v>
      </c>
      <c r="C85" s="21" t="s">
        <v>120</v>
      </c>
      <c r="D85" s="21">
        <v>8414802</v>
      </c>
      <c r="E85" s="22">
        <v>45292</v>
      </c>
      <c r="F85" s="21"/>
      <c r="G85" s="4">
        <v>0.71779999999999999</v>
      </c>
      <c r="H85" s="4">
        <f t="shared" si="8"/>
        <v>1.0613599999999996</v>
      </c>
      <c r="I85" s="4">
        <f t="shared" si="9"/>
        <v>0.99694249999999984</v>
      </c>
      <c r="J85" s="4">
        <f t="shared" si="10"/>
        <v>0.88957999999999982</v>
      </c>
      <c r="K85" s="4">
        <v>0.36559999999999998</v>
      </c>
      <c r="L85" s="4">
        <f t="shared" si="11"/>
        <v>0.63871999999999973</v>
      </c>
      <c r="M85" s="4">
        <f t="shared" si="12"/>
        <v>0.58750999999999975</v>
      </c>
      <c r="N85" s="4">
        <f t="shared" si="13"/>
        <v>0.50215999999999972</v>
      </c>
      <c r="O85" s="5">
        <v>0.2</v>
      </c>
      <c r="P85" s="6"/>
      <c r="Q85" s="6"/>
      <c r="R85" s="23" t="s">
        <v>121</v>
      </c>
      <c r="S85" s="24" t="s">
        <v>417</v>
      </c>
    </row>
    <row r="86" spans="1:19" x14ac:dyDescent="0.3">
      <c r="A86" s="19" t="str">
        <f t="shared" si="7"/>
        <v>01</v>
      </c>
      <c r="B86" s="20" t="s">
        <v>122</v>
      </c>
      <c r="C86" s="21" t="s">
        <v>123</v>
      </c>
      <c r="D86" s="21">
        <v>8414903</v>
      </c>
      <c r="E86" s="22">
        <v>43592</v>
      </c>
      <c r="F86" s="22">
        <v>45291</v>
      </c>
      <c r="G86" s="4">
        <v>0.71779999999999999</v>
      </c>
      <c r="H86" s="4">
        <f t="shared" si="8"/>
        <v>1.011082926829268</v>
      </c>
      <c r="I86" s="4">
        <f t="shared" si="9"/>
        <v>0.94823658536585342</v>
      </c>
      <c r="J86" s="4">
        <f t="shared" si="10"/>
        <v>0.843492682926829</v>
      </c>
      <c r="K86" s="4">
        <v>0.36559999999999998</v>
      </c>
      <c r="L86" s="4">
        <f t="shared" si="11"/>
        <v>0.5987512195121949</v>
      </c>
      <c r="M86" s="4">
        <f t="shared" si="12"/>
        <v>0.54879024390243858</v>
      </c>
      <c r="N86" s="4">
        <f t="shared" si="13"/>
        <v>0.4655219512195119</v>
      </c>
      <c r="O86" s="5">
        <v>0.18</v>
      </c>
      <c r="P86" s="6"/>
      <c r="Q86" s="6"/>
      <c r="R86" s="23" t="s">
        <v>124</v>
      </c>
      <c r="S86" s="24" t="s">
        <v>22</v>
      </c>
    </row>
    <row r="87" spans="1:19" x14ac:dyDescent="0.3">
      <c r="A87" s="19" t="str">
        <f t="shared" si="7"/>
        <v>01</v>
      </c>
      <c r="B87" s="20" t="s">
        <v>122</v>
      </c>
      <c r="C87" s="21" t="s">
        <v>123</v>
      </c>
      <c r="D87" s="21">
        <v>8414903</v>
      </c>
      <c r="E87" s="22">
        <v>45292</v>
      </c>
      <c r="F87" s="21"/>
      <c r="G87" s="4">
        <v>0.71779999999999999</v>
      </c>
      <c r="H87" s="4">
        <f t="shared" si="8"/>
        <v>1.0613599999999996</v>
      </c>
      <c r="I87" s="4">
        <f t="shared" si="9"/>
        <v>0.99694249999999984</v>
      </c>
      <c r="J87" s="4">
        <f t="shared" si="10"/>
        <v>0.88957999999999982</v>
      </c>
      <c r="K87" s="4">
        <v>0.36559999999999998</v>
      </c>
      <c r="L87" s="4">
        <f t="shared" si="11"/>
        <v>0.63871999999999973</v>
      </c>
      <c r="M87" s="4">
        <f t="shared" si="12"/>
        <v>0.58750999999999975</v>
      </c>
      <c r="N87" s="4">
        <f t="shared" si="13"/>
        <v>0.50215999999999972</v>
      </c>
      <c r="O87" s="5">
        <v>0.2</v>
      </c>
      <c r="P87" s="6"/>
      <c r="Q87" s="6"/>
      <c r="R87" s="23" t="s">
        <v>124</v>
      </c>
      <c r="S87" s="24" t="s">
        <v>417</v>
      </c>
    </row>
    <row r="88" spans="1:19" x14ac:dyDescent="0.3">
      <c r="A88" s="19" t="str">
        <f t="shared" si="7"/>
        <v>01</v>
      </c>
      <c r="B88" s="20" t="s">
        <v>122</v>
      </c>
      <c r="C88" s="21" t="s">
        <v>123</v>
      </c>
      <c r="D88" s="21">
        <v>84139190</v>
      </c>
      <c r="E88" s="22">
        <v>43592</v>
      </c>
      <c r="F88" s="22">
        <v>45291</v>
      </c>
      <c r="G88" s="4">
        <v>0.71779999999999999</v>
      </c>
      <c r="H88" s="4">
        <f t="shared" si="8"/>
        <v>1.011082926829268</v>
      </c>
      <c r="I88" s="4">
        <f t="shared" si="9"/>
        <v>0.94823658536585342</v>
      </c>
      <c r="J88" s="4">
        <f t="shared" si="10"/>
        <v>0.843492682926829</v>
      </c>
      <c r="K88" s="4">
        <v>0.36559999999999998</v>
      </c>
      <c r="L88" s="4">
        <f t="shared" si="11"/>
        <v>0.5987512195121949</v>
      </c>
      <c r="M88" s="4">
        <f t="shared" si="12"/>
        <v>0.54879024390243858</v>
      </c>
      <c r="N88" s="4">
        <f t="shared" si="13"/>
        <v>0.4655219512195119</v>
      </c>
      <c r="O88" s="5">
        <v>0.18</v>
      </c>
      <c r="P88" s="6"/>
      <c r="Q88" s="6"/>
      <c r="R88" s="23" t="s">
        <v>124</v>
      </c>
      <c r="S88" s="24" t="s">
        <v>22</v>
      </c>
    </row>
    <row r="89" spans="1:19" x14ac:dyDescent="0.3">
      <c r="A89" s="19" t="str">
        <f t="shared" si="7"/>
        <v>01</v>
      </c>
      <c r="B89" s="20" t="s">
        <v>122</v>
      </c>
      <c r="C89" s="21" t="s">
        <v>123</v>
      </c>
      <c r="D89" s="21">
        <v>84139190</v>
      </c>
      <c r="E89" s="22">
        <v>45292</v>
      </c>
      <c r="F89" s="21"/>
      <c r="G89" s="4">
        <v>0.71779999999999999</v>
      </c>
      <c r="H89" s="4">
        <f t="shared" si="8"/>
        <v>1.0613599999999996</v>
      </c>
      <c r="I89" s="4">
        <f t="shared" si="9"/>
        <v>0.99694249999999984</v>
      </c>
      <c r="J89" s="4">
        <f t="shared" si="10"/>
        <v>0.88957999999999982</v>
      </c>
      <c r="K89" s="4">
        <v>0.36559999999999998</v>
      </c>
      <c r="L89" s="4">
        <f t="shared" si="11"/>
        <v>0.63871999999999973</v>
      </c>
      <c r="M89" s="4">
        <f t="shared" si="12"/>
        <v>0.58750999999999975</v>
      </c>
      <c r="N89" s="4">
        <f t="shared" si="13"/>
        <v>0.50215999999999972</v>
      </c>
      <c r="O89" s="5">
        <v>0.2</v>
      </c>
      <c r="P89" s="6"/>
      <c r="Q89" s="6"/>
      <c r="R89" s="23" t="s">
        <v>124</v>
      </c>
      <c r="S89" s="24" t="s">
        <v>417</v>
      </c>
    </row>
    <row r="90" spans="1:19" x14ac:dyDescent="0.3">
      <c r="A90" s="19" t="str">
        <f t="shared" si="7"/>
        <v>01</v>
      </c>
      <c r="B90" s="20" t="s">
        <v>122</v>
      </c>
      <c r="C90" s="21" t="s">
        <v>123</v>
      </c>
      <c r="D90" s="21">
        <v>84149010</v>
      </c>
      <c r="E90" s="22">
        <v>43592</v>
      </c>
      <c r="F90" s="22">
        <v>45291</v>
      </c>
      <c r="G90" s="4">
        <v>0.71779999999999999</v>
      </c>
      <c r="H90" s="4">
        <f t="shared" si="8"/>
        <v>1.011082926829268</v>
      </c>
      <c r="I90" s="4">
        <f t="shared" si="9"/>
        <v>0.94823658536585342</v>
      </c>
      <c r="J90" s="4">
        <f t="shared" si="10"/>
        <v>0.843492682926829</v>
      </c>
      <c r="K90" s="4">
        <v>0.36559999999999998</v>
      </c>
      <c r="L90" s="4">
        <f t="shared" si="11"/>
        <v>0.5987512195121949</v>
      </c>
      <c r="M90" s="4">
        <f t="shared" si="12"/>
        <v>0.54879024390243858</v>
      </c>
      <c r="N90" s="4">
        <f t="shared" si="13"/>
        <v>0.4655219512195119</v>
      </c>
      <c r="O90" s="5">
        <v>0.18</v>
      </c>
      <c r="P90" s="6"/>
      <c r="Q90" s="6"/>
      <c r="R90" s="23" t="s">
        <v>124</v>
      </c>
      <c r="S90" s="24" t="s">
        <v>22</v>
      </c>
    </row>
    <row r="91" spans="1:19" x14ac:dyDescent="0.3">
      <c r="A91" s="19" t="str">
        <f t="shared" si="7"/>
        <v>01</v>
      </c>
      <c r="B91" s="20" t="s">
        <v>122</v>
      </c>
      <c r="C91" s="21" t="s">
        <v>123</v>
      </c>
      <c r="D91" s="21">
        <v>84149010</v>
      </c>
      <c r="E91" s="22">
        <v>45292</v>
      </c>
      <c r="F91" s="21"/>
      <c r="G91" s="4">
        <v>0.71779999999999999</v>
      </c>
      <c r="H91" s="4">
        <f t="shared" si="8"/>
        <v>1.0613599999999996</v>
      </c>
      <c r="I91" s="4">
        <f t="shared" si="9"/>
        <v>0.99694249999999984</v>
      </c>
      <c r="J91" s="4">
        <f t="shared" si="10"/>
        <v>0.88957999999999982</v>
      </c>
      <c r="K91" s="4">
        <v>0.36559999999999998</v>
      </c>
      <c r="L91" s="4">
        <f t="shared" si="11"/>
        <v>0.63871999999999973</v>
      </c>
      <c r="M91" s="4">
        <f t="shared" si="12"/>
        <v>0.58750999999999975</v>
      </c>
      <c r="N91" s="4">
        <f t="shared" si="13"/>
        <v>0.50215999999999972</v>
      </c>
      <c r="O91" s="5">
        <v>0.2</v>
      </c>
      <c r="P91" s="6"/>
      <c r="Q91" s="6"/>
      <c r="R91" s="23" t="s">
        <v>124</v>
      </c>
      <c r="S91" s="24" t="s">
        <v>417</v>
      </c>
    </row>
    <row r="92" spans="1:19" x14ac:dyDescent="0.3">
      <c r="A92" s="19" t="str">
        <f t="shared" si="7"/>
        <v>01</v>
      </c>
      <c r="B92" s="20" t="s">
        <v>122</v>
      </c>
      <c r="C92" s="21" t="s">
        <v>123</v>
      </c>
      <c r="D92" s="21">
        <v>84149039</v>
      </c>
      <c r="E92" s="22">
        <v>43592</v>
      </c>
      <c r="F92" s="22">
        <v>45291</v>
      </c>
      <c r="G92" s="4">
        <v>0.71779999999999999</v>
      </c>
      <c r="H92" s="4">
        <f t="shared" si="8"/>
        <v>1.011082926829268</v>
      </c>
      <c r="I92" s="4">
        <f t="shared" si="9"/>
        <v>0.94823658536585342</v>
      </c>
      <c r="J92" s="4">
        <f t="shared" si="10"/>
        <v>0.843492682926829</v>
      </c>
      <c r="K92" s="4">
        <v>0.36559999999999998</v>
      </c>
      <c r="L92" s="4">
        <f t="shared" si="11"/>
        <v>0.5987512195121949</v>
      </c>
      <c r="M92" s="4">
        <f t="shared" si="12"/>
        <v>0.54879024390243858</v>
      </c>
      <c r="N92" s="4">
        <f t="shared" si="13"/>
        <v>0.4655219512195119</v>
      </c>
      <c r="O92" s="5">
        <v>0.18</v>
      </c>
      <c r="P92" s="6"/>
      <c r="Q92" s="6"/>
      <c r="R92" s="23" t="s">
        <v>124</v>
      </c>
      <c r="S92" s="24" t="s">
        <v>22</v>
      </c>
    </row>
    <row r="93" spans="1:19" x14ac:dyDescent="0.3">
      <c r="A93" s="19" t="str">
        <f t="shared" si="7"/>
        <v>01</v>
      </c>
      <c r="B93" s="20" t="s">
        <v>122</v>
      </c>
      <c r="C93" s="21" t="s">
        <v>123</v>
      </c>
      <c r="D93" s="21">
        <v>84149039</v>
      </c>
      <c r="E93" s="22">
        <v>45292</v>
      </c>
      <c r="F93" s="21"/>
      <c r="G93" s="4">
        <v>0.71779999999999999</v>
      </c>
      <c r="H93" s="4">
        <f t="shared" si="8"/>
        <v>1.0613599999999996</v>
      </c>
      <c r="I93" s="4">
        <f t="shared" si="9"/>
        <v>0.99694249999999984</v>
      </c>
      <c r="J93" s="4">
        <f t="shared" si="10"/>
        <v>0.88957999999999982</v>
      </c>
      <c r="K93" s="4">
        <v>0.36559999999999998</v>
      </c>
      <c r="L93" s="4">
        <f t="shared" si="11"/>
        <v>0.63871999999999973</v>
      </c>
      <c r="M93" s="4">
        <f t="shared" si="12"/>
        <v>0.58750999999999975</v>
      </c>
      <c r="N93" s="4">
        <f t="shared" si="13"/>
        <v>0.50215999999999972</v>
      </c>
      <c r="O93" s="5">
        <v>0.2</v>
      </c>
      <c r="P93" s="6"/>
      <c r="Q93" s="6"/>
      <c r="R93" s="23" t="s">
        <v>124</v>
      </c>
      <c r="S93" s="24" t="s">
        <v>417</v>
      </c>
    </row>
    <row r="94" spans="1:19" x14ac:dyDescent="0.3">
      <c r="A94" s="19" t="str">
        <f t="shared" si="7"/>
        <v>01</v>
      </c>
      <c r="B94" s="20" t="s">
        <v>125</v>
      </c>
      <c r="C94" s="21" t="s">
        <v>126</v>
      </c>
      <c r="D94" s="21">
        <v>841520</v>
      </c>
      <c r="E94" s="22">
        <v>43592</v>
      </c>
      <c r="F94" s="22">
        <v>45291</v>
      </c>
      <c r="G94" s="4">
        <v>0.71779999999999999</v>
      </c>
      <c r="H94" s="4">
        <f t="shared" si="8"/>
        <v>1.011082926829268</v>
      </c>
      <c r="I94" s="4">
        <f t="shared" si="9"/>
        <v>0.94823658536585342</v>
      </c>
      <c r="J94" s="4">
        <f t="shared" si="10"/>
        <v>0.843492682926829</v>
      </c>
      <c r="K94" s="4">
        <v>0.36559999999999998</v>
      </c>
      <c r="L94" s="4">
        <f t="shared" si="11"/>
        <v>0.5987512195121949</v>
      </c>
      <c r="M94" s="4">
        <f t="shared" si="12"/>
        <v>0.54879024390243858</v>
      </c>
      <c r="N94" s="4">
        <f t="shared" si="13"/>
        <v>0.4655219512195119</v>
      </c>
      <c r="O94" s="5">
        <v>0.18</v>
      </c>
      <c r="P94" s="6"/>
      <c r="Q94" s="6"/>
      <c r="R94" s="23" t="s">
        <v>127</v>
      </c>
      <c r="S94" s="24" t="s">
        <v>22</v>
      </c>
    </row>
    <row r="95" spans="1:19" x14ac:dyDescent="0.3">
      <c r="A95" s="19" t="str">
        <f t="shared" si="7"/>
        <v>01</v>
      </c>
      <c r="B95" s="20" t="s">
        <v>125</v>
      </c>
      <c r="C95" s="21" t="s">
        <v>126</v>
      </c>
      <c r="D95" s="21">
        <v>841520</v>
      </c>
      <c r="E95" s="22">
        <v>45292</v>
      </c>
      <c r="F95" s="21"/>
      <c r="G95" s="4">
        <v>0.71779999999999999</v>
      </c>
      <c r="H95" s="4">
        <f t="shared" si="8"/>
        <v>1.0613599999999996</v>
      </c>
      <c r="I95" s="4">
        <f t="shared" si="9"/>
        <v>0.99694249999999984</v>
      </c>
      <c r="J95" s="4">
        <f t="shared" si="10"/>
        <v>0.88957999999999982</v>
      </c>
      <c r="K95" s="4">
        <v>0.36559999999999998</v>
      </c>
      <c r="L95" s="4">
        <f t="shared" si="11"/>
        <v>0.63871999999999973</v>
      </c>
      <c r="M95" s="4">
        <f t="shared" si="12"/>
        <v>0.58750999999999975</v>
      </c>
      <c r="N95" s="4">
        <f t="shared" si="13"/>
        <v>0.50215999999999972</v>
      </c>
      <c r="O95" s="5">
        <v>0.2</v>
      </c>
      <c r="P95" s="6"/>
      <c r="Q95" s="6"/>
      <c r="R95" s="23" t="s">
        <v>127</v>
      </c>
      <c r="S95" s="24" t="s">
        <v>417</v>
      </c>
    </row>
    <row r="96" spans="1:19" x14ac:dyDescent="0.3">
      <c r="A96" s="19" t="str">
        <f t="shared" si="7"/>
        <v>01</v>
      </c>
      <c r="B96" s="20" t="s">
        <v>128</v>
      </c>
      <c r="C96" s="21" t="s">
        <v>129</v>
      </c>
      <c r="D96" s="21">
        <v>84212300</v>
      </c>
      <c r="E96" s="22">
        <v>43592</v>
      </c>
      <c r="F96" s="22">
        <v>45291</v>
      </c>
      <c r="G96" s="4">
        <v>0.71779999999999999</v>
      </c>
      <c r="H96" s="4">
        <f t="shared" si="8"/>
        <v>1.011082926829268</v>
      </c>
      <c r="I96" s="4">
        <f t="shared" si="9"/>
        <v>0.94823658536585342</v>
      </c>
      <c r="J96" s="4">
        <f t="shared" si="10"/>
        <v>0.843492682926829</v>
      </c>
      <c r="K96" s="4">
        <v>0.36559999999999998</v>
      </c>
      <c r="L96" s="4">
        <f t="shared" si="11"/>
        <v>0.5987512195121949</v>
      </c>
      <c r="M96" s="4">
        <f t="shared" si="12"/>
        <v>0.54879024390243858</v>
      </c>
      <c r="N96" s="4">
        <f t="shared" si="13"/>
        <v>0.4655219512195119</v>
      </c>
      <c r="O96" s="5">
        <v>0.18</v>
      </c>
      <c r="P96" s="6"/>
      <c r="Q96" s="6"/>
      <c r="R96" s="23" t="s">
        <v>130</v>
      </c>
      <c r="S96" s="24" t="s">
        <v>22</v>
      </c>
    </row>
    <row r="97" spans="1:19" x14ac:dyDescent="0.3">
      <c r="A97" s="19" t="str">
        <f t="shared" si="7"/>
        <v>01</v>
      </c>
      <c r="B97" s="20" t="s">
        <v>128</v>
      </c>
      <c r="C97" s="21" t="s">
        <v>129</v>
      </c>
      <c r="D97" s="21">
        <v>84212300</v>
      </c>
      <c r="E97" s="22">
        <v>45292</v>
      </c>
      <c r="F97" s="21"/>
      <c r="G97" s="4">
        <v>0.71779999999999999</v>
      </c>
      <c r="H97" s="4">
        <f t="shared" si="8"/>
        <v>1.0613599999999996</v>
      </c>
      <c r="I97" s="4">
        <f t="shared" si="9"/>
        <v>0.99694249999999984</v>
      </c>
      <c r="J97" s="4">
        <f t="shared" si="10"/>
        <v>0.88957999999999982</v>
      </c>
      <c r="K97" s="4">
        <v>0.36559999999999998</v>
      </c>
      <c r="L97" s="4">
        <f t="shared" si="11"/>
        <v>0.63871999999999973</v>
      </c>
      <c r="M97" s="4">
        <f t="shared" si="12"/>
        <v>0.58750999999999975</v>
      </c>
      <c r="N97" s="4">
        <f t="shared" si="13"/>
        <v>0.50215999999999972</v>
      </c>
      <c r="O97" s="5">
        <v>0.2</v>
      </c>
      <c r="P97" s="6"/>
      <c r="Q97" s="6"/>
      <c r="R97" s="23" t="s">
        <v>130</v>
      </c>
      <c r="S97" s="24" t="s">
        <v>417</v>
      </c>
    </row>
    <row r="98" spans="1:19" x14ac:dyDescent="0.3">
      <c r="A98" s="19" t="str">
        <f t="shared" si="7"/>
        <v>01</v>
      </c>
      <c r="B98" s="20" t="s">
        <v>131</v>
      </c>
      <c r="C98" s="21" t="s">
        <v>132</v>
      </c>
      <c r="D98" s="21">
        <v>84212990</v>
      </c>
      <c r="E98" s="22">
        <v>43592</v>
      </c>
      <c r="F98" s="22">
        <v>45291</v>
      </c>
      <c r="G98" s="4">
        <v>0.71779999999999999</v>
      </c>
      <c r="H98" s="4">
        <f t="shared" si="8"/>
        <v>1.011082926829268</v>
      </c>
      <c r="I98" s="4">
        <f t="shared" si="9"/>
        <v>0.94823658536585342</v>
      </c>
      <c r="J98" s="4">
        <f t="shared" si="10"/>
        <v>0.843492682926829</v>
      </c>
      <c r="K98" s="4">
        <v>0.36559999999999998</v>
      </c>
      <c r="L98" s="4">
        <f t="shared" si="11"/>
        <v>0.5987512195121949</v>
      </c>
      <c r="M98" s="4">
        <f t="shared" si="12"/>
        <v>0.54879024390243858</v>
      </c>
      <c r="N98" s="4">
        <f t="shared" si="13"/>
        <v>0.4655219512195119</v>
      </c>
      <c r="O98" s="5">
        <v>0.18</v>
      </c>
      <c r="P98" s="6"/>
      <c r="Q98" s="6"/>
      <c r="R98" s="23" t="s">
        <v>133</v>
      </c>
      <c r="S98" s="24" t="s">
        <v>22</v>
      </c>
    </row>
    <row r="99" spans="1:19" x14ac:dyDescent="0.3">
      <c r="A99" s="19" t="str">
        <f t="shared" si="7"/>
        <v>01</v>
      </c>
      <c r="B99" s="20" t="s">
        <v>131</v>
      </c>
      <c r="C99" s="21" t="s">
        <v>132</v>
      </c>
      <c r="D99" s="21">
        <v>84212990</v>
      </c>
      <c r="E99" s="22">
        <v>45292</v>
      </c>
      <c r="F99" s="21"/>
      <c r="G99" s="4">
        <v>0.71779999999999999</v>
      </c>
      <c r="H99" s="4">
        <f t="shared" si="8"/>
        <v>1.0613599999999996</v>
      </c>
      <c r="I99" s="4">
        <f t="shared" si="9"/>
        <v>0.99694249999999984</v>
      </c>
      <c r="J99" s="4">
        <f t="shared" si="10"/>
        <v>0.88957999999999982</v>
      </c>
      <c r="K99" s="4">
        <v>0.36559999999999998</v>
      </c>
      <c r="L99" s="4">
        <f t="shared" si="11"/>
        <v>0.63871999999999973</v>
      </c>
      <c r="M99" s="4">
        <f t="shared" si="12"/>
        <v>0.58750999999999975</v>
      </c>
      <c r="N99" s="4">
        <f t="shared" si="13"/>
        <v>0.50215999999999972</v>
      </c>
      <c r="O99" s="5">
        <v>0.2</v>
      </c>
      <c r="P99" s="6"/>
      <c r="Q99" s="6"/>
      <c r="R99" s="23" t="s">
        <v>133</v>
      </c>
      <c r="S99" s="24" t="s">
        <v>417</v>
      </c>
    </row>
    <row r="100" spans="1:19" x14ac:dyDescent="0.3">
      <c r="A100" s="19" t="str">
        <f t="shared" si="7"/>
        <v>01</v>
      </c>
      <c r="B100" s="20" t="s">
        <v>134</v>
      </c>
      <c r="C100" s="21" t="s">
        <v>135</v>
      </c>
      <c r="D100" s="21">
        <v>84219</v>
      </c>
      <c r="E100" s="22">
        <v>43592</v>
      </c>
      <c r="F100" s="22">
        <v>45291</v>
      </c>
      <c r="G100" s="4">
        <v>0.71779999999999999</v>
      </c>
      <c r="H100" s="4">
        <f t="shared" si="8"/>
        <v>1.011082926829268</v>
      </c>
      <c r="I100" s="4">
        <f t="shared" si="9"/>
        <v>0.94823658536585342</v>
      </c>
      <c r="J100" s="4">
        <f t="shared" si="10"/>
        <v>0.843492682926829</v>
      </c>
      <c r="K100" s="4">
        <v>0.36559999999999998</v>
      </c>
      <c r="L100" s="4">
        <f t="shared" si="11"/>
        <v>0.5987512195121949</v>
      </c>
      <c r="M100" s="4">
        <f t="shared" si="12"/>
        <v>0.54879024390243858</v>
      </c>
      <c r="N100" s="4">
        <f t="shared" si="13"/>
        <v>0.4655219512195119</v>
      </c>
      <c r="O100" s="5">
        <v>0.18</v>
      </c>
      <c r="P100" s="6"/>
      <c r="Q100" s="6"/>
      <c r="R100" s="23" t="s">
        <v>136</v>
      </c>
      <c r="S100" s="24" t="s">
        <v>22</v>
      </c>
    </row>
    <row r="101" spans="1:19" x14ac:dyDescent="0.3">
      <c r="A101" s="19" t="str">
        <f t="shared" si="7"/>
        <v>01</v>
      </c>
      <c r="B101" s="20" t="s">
        <v>134</v>
      </c>
      <c r="C101" s="21" t="s">
        <v>135</v>
      </c>
      <c r="D101" s="21">
        <v>84219</v>
      </c>
      <c r="E101" s="22">
        <v>45292</v>
      </c>
      <c r="F101" s="21"/>
      <c r="G101" s="4">
        <v>0.71779999999999999</v>
      </c>
      <c r="H101" s="4">
        <f t="shared" si="8"/>
        <v>1.0613599999999996</v>
      </c>
      <c r="I101" s="4">
        <f t="shared" si="9"/>
        <v>0.99694249999999984</v>
      </c>
      <c r="J101" s="4">
        <f t="shared" si="10"/>
        <v>0.88957999999999982</v>
      </c>
      <c r="K101" s="4">
        <v>0.36559999999999998</v>
      </c>
      <c r="L101" s="4">
        <f t="shared" si="11"/>
        <v>0.63871999999999973</v>
      </c>
      <c r="M101" s="4">
        <f t="shared" si="12"/>
        <v>0.58750999999999975</v>
      </c>
      <c r="N101" s="4">
        <f t="shared" si="13"/>
        <v>0.50215999999999972</v>
      </c>
      <c r="O101" s="5">
        <v>0.2</v>
      </c>
      <c r="P101" s="6"/>
      <c r="Q101" s="6"/>
      <c r="R101" s="23" t="s">
        <v>136</v>
      </c>
      <c r="S101" s="24" t="s">
        <v>417</v>
      </c>
    </row>
    <row r="102" spans="1:19" x14ac:dyDescent="0.3">
      <c r="A102" s="19" t="str">
        <f t="shared" si="7"/>
        <v>01</v>
      </c>
      <c r="B102" s="20" t="s">
        <v>137</v>
      </c>
      <c r="C102" s="21" t="s">
        <v>138</v>
      </c>
      <c r="D102" s="21">
        <v>84241000</v>
      </c>
      <c r="E102" s="22">
        <v>43592</v>
      </c>
      <c r="F102" s="22">
        <v>45291</v>
      </c>
      <c r="G102" s="4">
        <v>0.71779999999999999</v>
      </c>
      <c r="H102" s="4">
        <f t="shared" si="8"/>
        <v>1.011082926829268</v>
      </c>
      <c r="I102" s="4">
        <f t="shared" si="9"/>
        <v>0.94823658536585342</v>
      </c>
      <c r="J102" s="4">
        <f t="shared" si="10"/>
        <v>0.843492682926829</v>
      </c>
      <c r="K102" s="4">
        <v>0.36559999999999998</v>
      </c>
      <c r="L102" s="4">
        <f t="shared" si="11"/>
        <v>0.5987512195121949</v>
      </c>
      <c r="M102" s="4">
        <f t="shared" si="12"/>
        <v>0.54879024390243858</v>
      </c>
      <c r="N102" s="4">
        <f t="shared" si="13"/>
        <v>0.4655219512195119</v>
      </c>
      <c r="O102" s="5">
        <v>0.18</v>
      </c>
      <c r="P102" s="6"/>
      <c r="Q102" s="6"/>
      <c r="R102" s="23" t="s">
        <v>139</v>
      </c>
      <c r="S102" s="24" t="s">
        <v>22</v>
      </c>
    </row>
    <row r="103" spans="1:19" x14ac:dyDescent="0.3">
      <c r="A103" s="19" t="str">
        <f t="shared" si="7"/>
        <v>01</v>
      </c>
      <c r="B103" s="20" t="s">
        <v>137</v>
      </c>
      <c r="C103" s="21" t="s">
        <v>138</v>
      </c>
      <c r="D103" s="21">
        <v>84241000</v>
      </c>
      <c r="E103" s="22">
        <v>45292</v>
      </c>
      <c r="F103" s="21"/>
      <c r="G103" s="4">
        <v>0.71779999999999999</v>
      </c>
      <c r="H103" s="4">
        <f t="shared" si="8"/>
        <v>1.0613599999999996</v>
      </c>
      <c r="I103" s="4">
        <f t="shared" si="9"/>
        <v>0.99694249999999984</v>
      </c>
      <c r="J103" s="4">
        <f t="shared" si="10"/>
        <v>0.88957999999999982</v>
      </c>
      <c r="K103" s="4">
        <v>0.36559999999999998</v>
      </c>
      <c r="L103" s="4">
        <f t="shared" si="11"/>
        <v>0.63871999999999973</v>
      </c>
      <c r="M103" s="4">
        <f t="shared" si="12"/>
        <v>0.58750999999999975</v>
      </c>
      <c r="N103" s="4">
        <f t="shared" si="13"/>
        <v>0.50215999999999972</v>
      </c>
      <c r="O103" s="5">
        <v>0.2</v>
      </c>
      <c r="P103" s="6"/>
      <c r="Q103" s="6"/>
      <c r="R103" s="23" t="s">
        <v>139</v>
      </c>
      <c r="S103" s="24" t="s">
        <v>417</v>
      </c>
    </row>
    <row r="104" spans="1:19" x14ac:dyDescent="0.3">
      <c r="A104" s="19" t="str">
        <f t="shared" si="7"/>
        <v>01</v>
      </c>
      <c r="B104" s="20" t="s">
        <v>140</v>
      </c>
      <c r="C104" s="21" t="s">
        <v>141</v>
      </c>
      <c r="D104" s="21">
        <v>84213100</v>
      </c>
      <c r="E104" s="22">
        <v>43592</v>
      </c>
      <c r="F104" s="22">
        <v>45291</v>
      </c>
      <c r="G104" s="4">
        <v>0.71779999999999999</v>
      </c>
      <c r="H104" s="4">
        <f t="shared" si="8"/>
        <v>1.011082926829268</v>
      </c>
      <c r="I104" s="4">
        <f t="shared" si="9"/>
        <v>0.94823658536585342</v>
      </c>
      <c r="J104" s="4">
        <f t="shared" si="10"/>
        <v>0.843492682926829</v>
      </c>
      <c r="K104" s="4">
        <v>0.36559999999999998</v>
      </c>
      <c r="L104" s="4">
        <f t="shared" si="11"/>
        <v>0.5987512195121949</v>
      </c>
      <c r="M104" s="4">
        <f t="shared" si="12"/>
        <v>0.54879024390243858</v>
      </c>
      <c r="N104" s="4">
        <f t="shared" si="13"/>
        <v>0.4655219512195119</v>
      </c>
      <c r="O104" s="5">
        <v>0.18</v>
      </c>
      <c r="P104" s="6"/>
      <c r="Q104" s="6"/>
      <c r="R104" s="23" t="s">
        <v>142</v>
      </c>
      <c r="S104" s="24" t="s">
        <v>22</v>
      </c>
    </row>
    <row r="105" spans="1:19" x14ac:dyDescent="0.3">
      <c r="A105" s="19" t="str">
        <f t="shared" si="7"/>
        <v>01</v>
      </c>
      <c r="B105" s="20" t="s">
        <v>140</v>
      </c>
      <c r="C105" s="21" t="s">
        <v>141</v>
      </c>
      <c r="D105" s="21">
        <v>84213100</v>
      </c>
      <c r="E105" s="22">
        <v>45292</v>
      </c>
      <c r="F105" s="21"/>
      <c r="G105" s="4">
        <v>0.71779999999999999</v>
      </c>
      <c r="H105" s="4">
        <f t="shared" si="8"/>
        <v>1.0613599999999996</v>
      </c>
      <c r="I105" s="4">
        <f t="shared" si="9"/>
        <v>0.99694249999999984</v>
      </c>
      <c r="J105" s="4">
        <f t="shared" si="10"/>
        <v>0.88957999999999982</v>
      </c>
      <c r="K105" s="4">
        <v>0.36559999999999998</v>
      </c>
      <c r="L105" s="4">
        <f t="shared" si="11"/>
        <v>0.63871999999999973</v>
      </c>
      <c r="M105" s="4">
        <f t="shared" si="12"/>
        <v>0.58750999999999975</v>
      </c>
      <c r="N105" s="4">
        <f t="shared" si="13"/>
        <v>0.50215999999999972</v>
      </c>
      <c r="O105" s="5">
        <v>0.2</v>
      </c>
      <c r="P105" s="6"/>
      <c r="Q105" s="6"/>
      <c r="R105" s="23" t="s">
        <v>142</v>
      </c>
      <c r="S105" s="24" t="s">
        <v>417</v>
      </c>
    </row>
    <row r="106" spans="1:19" x14ac:dyDescent="0.3">
      <c r="A106" s="26" t="str">
        <f t="shared" si="7"/>
        <v>01</v>
      </c>
      <c r="B106" s="27" t="s">
        <v>143</v>
      </c>
      <c r="C106" s="28" t="s">
        <v>144</v>
      </c>
      <c r="D106" s="28">
        <v>84213200</v>
      </c>
      <c r="E106" s="29">
        <v>44683</v>
      </c>
      <c r="F106" s="22">
        <v>45291</v>
      </c>
      <c r="G106" s="13">
        <v>0.71779999999999999</v>
      </c>
      <c r="H106" s="13">
        <f t="shared" si="8"/>
        <v>1.011082926829268</v>
      </c>
      <c r="I106" s="13">
        <f t="shared" si="9"/>
        <v>0.94823658536585342</v>
      </c>
      <c r="J106" s="13">
        <f t="shared" si="10"/>
        <v>0.843492682926829</v>
      </c>
      <c r="K106" s="13">
        <v>0.36559999999999998</v>
      </c>
      <c r="L106" s="13">
        <f t="shared" si="11"/>
        <v>0.5987512195121949</v>
      </c>
      <c r="M106" s="13">
        <f t="shared" si="12"/>
        <v>0.54879024390243858</v>
      </c>
      <c r="N106" s="13">
        <f t="shared" si="13"/>
        <v>0.4655219512195119</v>
      </c>
      <c r="O106" s="14">
        <v>0.18</v>
      </c>
      <c r="P106" s="15"/>
      <c r="Q106" s="15"/>
      <c r="R106" s="30" t="s">
        <v>145</v>
      </c>
      <c r="S106" s="31" t="s">
        <v>416</v>
      </c>
    </row>
    <row r="107" spans="1:19" s="25" customFormat="1" x14ac:dyDescent="0.3">
      <c r="A107" s="26" t="str">
        <f t="shared" si="7"/>
        <v>01</v>
      </c>
      <c r="B107" s="27" t="s">
        <v>143</v>
      </c>
      <c r="C107" s="28" t="s">
        <v>144</v>
      </c>
      <c r="D107" s="28">
        <v>84213200</v>
      </c>
      <c r="E107" s="22">
        <v>45292</v>
      </c>
      <c r="F107" s="28"/>
      <c r="G107" s="13">
        <v>0.71779999999999999</v>
      </c>
      <c r="H107" s="13">
        <f t="shared" si="8"/>
        <v>1.0613599999999996</v>
      </c>
      <c r="I107" s="13">
        <f t="shared" si="9"/>
        <v>0.99694249999999984</v>
      </c>
      <c r="J107" s="13">
        <f t="shared" si="10"/>
        <v>0.88957999999999982</v>
      </c>
      <c r="K107" s="13">
        <v>0.36559999999999998</v>
      </c>
      <c r="L107" s="13">
        <f t="shared" si="11"/>
        <v>0.63871999999999973</v>
      </c>
      <c r="M107" s="13">
        <f t="shared" si="12"/>
        <v>0.58750999999999975</v>
      </c>
      <c r="N107" s="13">
        <f t="shared" si="13"/>
        <v>0.50215999999999972</v>
      </c>
      <c r="O107" s="5">
        <v>0.2</v>
      </c>
      <c r="P107" s="15"/>
      <c r="Q107" s="15"/>
      <c r="R107" s="30" t="s">
        <v>145</v>
      </c>
      <c r="S107" s="24" t="s">
        <v>417</v>
      </c>
    </row>
    <row r="108" spans="1:19" s="25" customFormat="1" x14ac:dyDescent="0.3">
      <c r="A108" s="26" t="str">
        <f t="shared" si="7"/>
        <v>01</v>
      </c>
      <c r="B108" s="27" t="s">
        <v>143</v>
      </c>
      <c r="C108" s="28" t="s">
        <v>144</v>
      </c>
      <c r="D108" s="28">
        <v>84213920</v>
      </c>
      <c r="E108" s="29">
        <v>43592</v>
      </c>
      <c r="F108" s="29">
        <v>44682</v>
      </c>
      <c r="G108" s="13">
        <v>0.71779999999999999</v>
      </c>
      <c r="H108" s="13">
        <f t="shared" si="8"/>
        <v>1.011082926829268</v>
      </c>
      <c r="I108" s="13">
        <f t="shared" si="9"/>
        <v>0.94823658536585342</v>
      </c>
      <c r="J108" s="13">
        <f t="shared" si="10"/>
        <v>0.843492682926829</v>
      </c>
      <c r="K108" s="13">
        <v>0.36559999999999998</v>
      </c>
      <c r="L108" s="13">
        <f t="shared" si="11"/>
        <v>0.5987512195121949</v>
      </c>
      <c r="M108" s="13">
        <f t="shared" si="12"/>
        <v>0.54879024390243858</v>
      </c>
      <c r="N108" s="13">
        <f t="shared" si="13"/>
        <v>0.4655219512195119</v>
      </c>
      <c r="O108" s="14">
        <v>0.18</v>
      </c>
      <c r="P108" s="15"/>
      <c r="Q108" s="15"/>
      <c r="R108" s="30" t="s">
        <v>145</v>
      </c>
      <c r="S108" s="31" t="s">
        <v>415</v>
      </c>
    </row>
    <row r="109" spans="1:19" s="25" customFormat="1" x14ac:dyDescent="0.3">
      <c r="A109" s="19" t="str">
        <f t="shared" si="7"/>
        <v>01</v>
      </c>
      <c r="B109" s="20" t="s">
        <v>146</v>
      </c>
      <c r="C109" s="21" t="s">
        <v>147</v>
      </c>
      <c r="D109" s="21">
        <v>84254200</v>
      </c>
      <c r="E109" s="22">
        <v>43592</v>
      </c>
      <c r="F109" s="22">
        <v>45291</v>
      </c>
      <c r="G109" s="4">
        <v>0.71779999999999999</v>
      </c>
      <c r="H109" s="4">
        <f t="shared" si="8"/>
        <v>1.011082926829268</v>
      </c>
      <c r="I109" s="4">
        <f t="shared" si="9"/>
        <v>0.94823658536585342</v>
      </c>
      <c r="J109" s="4">
        <f t="shared" si="10"/>
        <v>0.843492682926829</v>
      </c>
      <c r="K109" s="4">
        <v>0.36559999999999998</v>
      </c>
      <c r="L109" s="4">
        <f t="shared" si="11"/>
        <v>0.5987512195121949</v>
      </c>
      <c r="M109" s="4">
        <f t="shared" si="12"/>
        <v>0.54879024390243858</v>
      </c>
      <c r="N109" s="4">
        <f t="shared" si="13"/>
        <v>0.4655219512195119</v>
      </c>
      <c r="O109" s="5">
        <v>0.18</v>
      </c>
      <c r="P109" s="6"/>
      <c r="Q109" s="6"/>
      <c r="R109" s="23" t="s">
        <v>148</v>
      </c>
      <c r="S109" s="24" t="s">
        <v>22</v>
      </c>
    </row>
    <row r="110" spans="1:19" s="25" customFormat="1" x14ac:dyDescent="0.3">
      <c r="A110" s="19" t="str">
        <f t="shared" si="7"/>
        <v>01</v>
      </c>
      <c r="B110" s="20" t="s">
        <v>146</v>
      </c>
      <c r="C110" s="21" t="s">
        <v>147</v>
      </c>
      <c r="D110" s="21">
        <v>84254200</v>
      </c>
      <c r="E110" s="22">
        <v>45292</v>
      </c>
      <c r="F110" s="21"/>
      <c r="G110" s="4">
        <v>0.71779999999999999</v>
      </c>
      <c r="H110" s="4">
        <f t="shared" si="8"/>
        <v>1.0613599999999996</v>
      </c>
      <c r="I110" s="4">
        <f t="shared" si="9"/>
        <v>0.99694249999999984</v>
      </c>
      <c r="J110" s="4">
        <f t="shared" si="10"/>
        <v>0.88957999999999982</v>
      </c>
      <c r="K110" s="4">
        <v>0.36559999999999998</v>
      </c>
      <c r="L110" s="4">
        <f t="shared" si="11"/>
        <v>0.63871999999999973</v>
      </c>
      <c r="M110" s="4">
        <f t="shared" si="12"/>
        <v>0.58750999999999975</v>
      </c>
      <c r="N110" s="4">
        <f t="shared" si="13"/>
        <v>0.50215999999999972</v>
      </c>
      <c r="O110" s="5">
        <v>0.2</v>
      </c>
      <c r="P110" s="6"/>
      <c r="Q110" s="6"/>
      <c r="R110" s="23" t="s">
        <v>148</v>
      </c>
      <c r="S110" s="24" t="s">
        <v>417</v>
      </c>
    </row>
    <row r="111" spans="1:19" x14ac:dyDescent="0.3">
      <c r="A111" s="19" t="str">
        <f t="shared" si="7"/>
        <v>01</v>
      </c>
      <c r="B111" s="20" t="s">
        <v>149</v>
      </c>
      <c r="C111" s="21" t="s">
        <v>150</v>
      </c>
      <c r="D111" s="21">
        <v>84311010</v>
      </c>
      <c r="E111" s="22">
        <v>43592</v>
      </c>
      <c r="F111" s="22">
        <v>45291</v>
      </c>
      <c r="G111" s="4">
        <v>0.71779999999999999</v>
      </c>
      <c r="H111" s="4">
        <f t="shared" si="8"/>
        <v>1.011082926829268</v>
      </c>
      <c r="I111" s="4">
        <f t="shared" si="9"/>
        <v>0.94823658536585342</v>
      </c>
      <c r="J111" s="4">
        <f t="shared" si="10"/>
        <v>0.843492682926829</v>
      </c>
      <c r="K111" s="4">
        <v>0.36559999999999998</v>
      </c>
      <c r="L111" s="4">
        <f t="shared" si="11"/>
        <v>0.5987512195121949</v>
      </c>
      <c r="M111" s="4">
        <f t="shared" si="12"/>
        <v>0.54879024390243858</v>
      </c>
      <c r="N111" s="4">
        <f t="shared" si="13"/>
        <v>0.4655219512195119</v>
      </c>
      <c r="O111" s="5">
        <v>0.18</v>
      </c>
      <c r="P111" s="6"/>
      <c r="Q111" s="6"/>
      <c r="R111" s="23" t="s">
        <v>151</v>
      </c>
      <c r="S111" s="24" t="s">
        <v>22</v>
      </c>
    </row>
    <row r="112" spans="1:19" x14ac:dyDescent="0.3">
      <c r="A112" s="19" t="str">
        <f t="shared" si="7"/>
        <v>01</v>
      </c>
      <c r="B112" s="20" t="s">
        <v>149</v>
      </c>
      <c r="C112" s="21" t="s">
        <v>150</v>
      </c>
      <c r="D112" s="21">
        <v>84311010</v>
      </c>
      <c r="E112" s="22">
        <v>45292</v>
      </c>
      <c r="F112" s="21"/>
      <c r="G112" s="4">
        <v>0.71779999999999999</v>
      </c>
      <c r="H112" s="4">
        <f t="shared" si="8"/>
        <v>1.0613599999999996</v>
      </c>
      <c r="I112" s="4">
        <f t="shared" si="9"/>
        <v>0.99694249999999984</v>
      </c>
      <c r="J112" s="4">
        <f t="shared" si="10"/>
        <v>0.88957999999999982</v>
      </c>
      <c r="K112" s="4">
        <v>0.36559999999999998</v>
      </c>
      <c r="L112" s="4">
        <f t="shared" si="11"/>
        <v>0.63871999999999973</v>
      </c>
      <c r="M112" s="4">
        <f t="shared" si="12"/>
        <v>0.58750999999999975</v>
      </c>
      <c r="N112" s="4">
        <f t="shared" si="13"/>
        <v>0.50215999999999972</v>
      </c>
      <c r="O112" s="5">
        <v>0.2</v>
      </c>
      <c r="P112" s="6"/>
      <c r="Q112" s="6"/>
      <c r="R112" s="23" t="s">
        <v>151</v>
      </c>
      <c r="S112" s="24" t="s">
        <v>417</v>
      </c>
    </row>
    <row r="113" spans="1:19" x14ac:dyDescent="0.3">
      <c r="A113" s="19" t="str">
        <f t="shared" si="7"/>
        <v>01</v>
      </c>
      <c r="B113" s="20" t="s">
        <v>152</v>
      </c>
      <c r="C113" s="21" t="s">
        <v>153</v>
      </c>
      <c r="D113" s="21">
        <v>8431492</v>
      </c>
      <c r="E113" s="22">
        <v>43592</v>
      </c>
      <c r="F113" s="22">
        <v>45291</v>
      </c>
      <c r="G113" s="4">
        <v>0.71779999999999999</v>
      </c>
      <c r="H113" s="4">
        <f t="shared" si="8"/>
        <v>1.011082926829268</v>
      </c>
      <c r="I113" s="4">
        <f t="shared" si="9"/>
        <v>0.94823658536585342</v>
      </c>
      <c r="J113" s="4">
        <f t="shared" si="10"/>
        <v>0.843492682926829</v>
      </c>
      <c r="K113" s="4">
        <v>0.36559999999999998</v>
      </c>
      <c r="L113" s="4">
        <f t="shared" si="11"/>
        <v>0.5987512195121949</v>
      </c>
      <c r="M113" s="4">
        <f t="shared" si="12"/>
        <v>0.54879024390243858</v>
      </c>
      <c r="N113" s="4">
        <f t="shared" si="13"/>
        <v>0.4655219512195119</v>
      </c>
      <c r="O113" s="5">
        <v>0.18</v>
      </c>
      <c r="P113" s="6"/>
      <c r="Q113" s="6"/>
      <c r="R113" s="23" t="s">
        <v>154</v>
      </c>
      <c r="S113" s="24" t="s">
        <v>22</v>
      </c>
    </row>
    <row r="114" spans="1:19" x14ac:dyDescent="0.3">
      <c r="A114" s="19" t="str">
        <f t="shared" si="7"/>
        <v>01</v>
      </c>
      <c r="B114" s="20" t="s">
        <v>152</v>
      </c>
      <c r="C114" s="21" t="s">
        <v>153</v>
      </c>
      <c r="D114" s="21">
        <v>8431492</v>
      </c>
      <c r="E114" s="22">
        <v>45292</v>
      </c>
      <c r="F114" s="21"/>
      <c r="G114" s="4">
        <v>0.71779999999999999</v>
      </c>
      <c r="H114" s="4">
        <f t="shared" si="8"/>
        <v>1.0613599999999996</v>
      </c>
      <c r="I114" s="4">
        <f t="shared" si="9"/>
        <v>0.99694249999999984</v>
      </c>
      <c r="J114" s="4">
        <f t="shared" si="10"/>
        <v>0.88957999999999982</v>
      </c>
      <c r="K114" s="4">
        <v>0.36559999999999998</v>
      </c>
      <c r="L114" s="4">
        <f t="shared" si="11"/>
        <v>0.63871999999999973</v>
      </c>
      <c r="M114" s="4">
        <f t="shared" si="12"/>
        <v>0.58750999999999975</v>
      </c>
      <c r="N114" s="4">
        <f t="shared" si="13"/>
        <v>0.50215999999999972</v>
      </c>
      <c r="O114" s="5">
        <v>0.2</v>
      </c>
      <c r="P114" s="6"/>
      <c r="Q114" s="6"/>
      <c r="R114" s="23" t="s">
        <v>154</v>
      </c>
      <c r="S114" s="24" t="s">
        <v>417</v>
      </c>
    </row>
    <row r="115" spans="1:19" x14ac:dyDescent="0.3">
      <c r="A115" s="19" t="str">
        <f t="shared" si="7"/>
        <v>01</v>
      </c>
      <c r="B115" s="20" t="s">
        <v>155</v>
      </c>
      <c r="C115" s="21" t="s">
        <v>156</v>
      </c>
      <c r="D115" s="21">
        <v>84339090</v>
      </c>
      <c r="E115" s="22">
        <v>43592</v>
      </c>
      <c r="F115" s="22">
        <v>45291</v>
      </c>
      <c r="G115" s="4">
        <v>0.71779999999999999</v>
      </c>
      <c r="H115" s="4">
        <f t="shared" si="8"/>
        <v>1.011082926829268</v>
      </c>
      <c r="I115" s="4">
        <f t="shared" si="9"/>
        <v>0.94823658536585342</v>
      </c>
      <c r="J115" s="4">
        <f t="shared" si="10"/>
        <v>0.843492682926829</v>
      </c>
      <c r="K115" s="4">
        <v>0.36559999999999998</v>
      </c>
      <c r="L115" s="4">
        <f t="shared" si="11"/>
        <v>0.5987512195121949</v>
      </c>
      <c r="M115" s="4">
        <f t="shared" si="12"/>
        <v>0.54879024390243858</v>
      </c>
      <c r="N115" s="4">
        <f t="shared" si="13"/>
        <v>0.4655219512195119</v>
      </c>
      <c r="O115" s="5">
        <v>0.18</v>
      </c>
      <c r="P115" s="6"/>
      <c r="Q115" s="6"/>
      <c r="R115" s="23" t="s">
        <v>154</v>
      </c>
      <c r="S115" s="24" t="s">
        <v>22</v>
      </c>
    </row>
    <row r="116" spans="1:19" s="25" customFormat="1" x14ac:dyDescent="0.3">
      <c r="A116" s="19" t="str">
        <f t="shared" si="7"/>
        <v>01</v>
      </c>
      <c r="B116" s="20" t="s">
        <v>155</v>
      </c>
      <c r="C116" s="21" t="s">
        <v>156</v>
      </c>
      <c r="D116" s="21">
        <v>84339090</v>
      </c>
      <c r="E116" s="22">
        <v>45292</v>
      </c>
      <c r="F116" s="21"/>
      <c r="G116" s="4">
        <v>0.71779999999999999</v>
      </c>
      <c r="H116" s="4">
        <f t="shared" si="8"/>
        <v>1.0613599999999996</v>
      </c>
      <c r="I116" s="4">
        <f t="shared" si="9"/>
        <v>0.99694249999999984</v>
      </c>
      <c r="J116" s="4">
        <f t="shared" si="10"/>
        <v>0.88957999999999982</v>
      </c>
      <c r="K116" s="4">
        <v>0.36559999999999998</v>
      </c>
      <c r="L116" s="4">
        <f t="shared" si="11"/>
        <v>0.63871999999999973</v>
      </c>
      <c r="M116" s="4">
        <f t="shared" si="12"/>
        <v>0.58750999999999975</v>
      </c>
      <c r="N116" s="4">
        <f t="shared" si="13"/>
        <v>0.50215999999999972</v>
      </c>
      <c r="O116" s="5">
        <v>0.2</v>
      </c>
      <c r="P116" s="6"/>
      <c r="Q116" s="6"/>
      <c r="R116" s="23" t="s">
        <v>154</v>
      </c>
      <c r="S116" s="24" t="s">
        <v>417</v>
      </c>
    </row>
    <row r="117" spans="1:19" s="25" customFormat="1" x14ac:dyDescent="0.3">
      <c r="A117" s="19" t="str">
        <f t="shared" si="7"/>
        <v>01</v>
      </c>
      <c r="B117" s="20" t="s">
        <v>157</v>
      </c>
      <c r="C117" s="21" t="s">
        <v>158</v>
      </c>
      <c r="D117" s="21">
        <v>84811000</v>
      </c>
      <c r="E117" s="22">
        <v>43592</v>
      </c>
      <c r="F117" s="22">
        <v>45291</v>
      </c>
      <c r="G117" s="4">
        <v>0.71779999999999999</v>
      </c>
      <c r="H117" s="4">
        <f t="shared" si="8"/>
        <v>1.011082926829268</v>
      </c>
      <c r="I117" s="4">
        <f t="shared" si="9"/>
        <v>0.94823658536585342</v>
      </c>
      <c r="J117" s="4">
        <f t="shared" si="10"/>
        <v>0.843492682926829</v>
      </c>
      <c r="K117" s="4">
        <v>0.36559999999999998</v>
      </c>
      <c r="L117" s="4">
        <f t="shared" si="11"/>
        <v>0.5987512195121949</v>
      </c>
      <c r="M117" s="4">
        <f t="shared" si="12"/>
        <v>0.54879024390243858</v>
      </c>
      <c r="N117" s="4">
        <f t="shared" si="13"/>
        <v>0.4655219512195119</v>
      </c>
      <c r="O117" s="5">
        <v>0.18</v>
      </c>
      <c r="P117" s="6"/>
      <c r="Q117" s="6"/>
      <c r="R117" s="23" t="s">
        <v>159</v>
      </c>
      <c r="S117" s="24" t="s">
        <v>22</v>
      </c>
    </row>
    <row r="118" spans="1:19" s="25" customFormat="1" x14ac:dyDescent="0.3">
      <c r="A118" s="19" t="str">
        <f t="shared" si="7"/>
        <v>01</v>
      </c>
      <c r="B118" s="20" t="s">
        <v>157</v>
      </c>
      <c r="C118" s="21" t="s">
        <v>158</v>
      </c>
      <c r="D118" s="21">
        <v>84811000</v>
      </c>
      <c r="E118" s="22">
        <v>45292</v>
      </c>
      <c r="F118" s="21"/>
      <c r="G118" s="4">
        <v>0.71779999999999999</v>
      </c>
      <c r="H118" s="4">
        <f t="shared" si="8"/>
        <v>1.0613599999999996</v>
      </c>
      <c r="I118" s="4">
        <f t="shared" si="9"/>
        <v>0.99694249999999984</v>
      </c>
      <c r="J118" s="4">
        <f t="shared" si="10"/>
        <v>0.88957999999999982</v>
      </c>
      <c r="K118" s="4">
        <v>0.36559999999999998</v>
      </c>
      <c r="L118" s="4">
        <f t="shared" si="11"/>
        <v>0.63871999999999973</v>
      </c>
      <c r="M118" s="4">
        <f t="shared" si="12"/>
        <v>0.58750999999999975</v>
      </c>
      <c r="N118" s="4">
        <f t="shared" si="13"/>
        <v>0.50215999999999972</v>
      </c>
      <c r="O118" s="5">
        <v>0.2</v>
      </c>
      <c r="P118" s="6"/>
      <c r="Q118" s="6"/>
      <c r="R118" s="23" t="s">
        <v>159</v>
      </c>
      <c r="S118" s="24" t="s">
        <v>417</v>
      </c>
    </row>
    <row r="119" spans="1:19" s="25" customFormat="1" x14ac:dyDescent="0.3">
      <c r="A119" s="19" t="str">
        <f t="shared" si="7"/>
        <v>01</v>
      </c>
      <c r="B119" s="20" t="s">
        <v>160</v>
      </c>
      <c r="C119" s="21" t="s">
        <v>161</v>
      </c>
      <c r="D119" s="21">
        <v>84812</v>
      </c>
      <c r="E119" s="22">
        <v>43592</v>
      </c>
      <c r="F119" s="22">
        <v>45291</v>
      </c>
      <c r="G119" s="4">
        <v>0.71779999999999999</v>
      </c>
      <c r="H119" s="4">
        <f t="shared" si="8"/>
        <v>1.011082926829268</v>
      </c>
      <c r="I119" s="4">
        <f t="shared" si="9"/>
        <v>0.94823658536585342</v>
      </c>
      <c r="J119" s="4">
        <f t="shared" si="10"/>
        <v>0.843492682926829</v>
      </c>
      <c r="K119" s="4">
        <v>0.36559999999999998</v>
      </c>
      <c r="L119" s="4">
        <f t="shared" si="11"/>
        <v>0.5987512195121949</v>
      </c>
      <c r="M119" s="4">
        <f t="shared" si="12"/>
        <v>0.54879024390243858</v>
      </c>
      <c r="N119" s="4">
        <f t="shared" si="13"/>
        <v>0.4655219512195119</v>
      </c>
      <c r="O119" s="5">
        <v>0.18</v>
      </c>
      <c r="P119" s="6"/>
      <c r="Q119" s="6"/>
      <c r="R119" s="23" t="s">
        <v>162</v>
      </c>
      <c r="S119" s="24" t="s">
        <v>22</v>
      </c>
    </row>
    <row r="120" spans="1:19" s="25" customFormat="1" x14ac:dyDescent="0.3">
      <c r="A120" s="19" t="str">
        <f t="shared" si="7"/>
        <v>01</v>
      </c>
      <c r="B120" s="20" t="s">
        <v>160</v>
      </c>
      <c r="C120" s="21" t="s">
        <v>161</v>
      </c>
      <c r="D120" s="21">
        <v>84812</v>
      </c>
      <c r="E120" s="22">
        <v>45292</v>
      </c>
      <c r="F120" s="21"/>
      <c r="G120" s="4">
        <v>0.71779999999999999</v>
      </c>
      <c r="H120" s="4">
        <f t="shared" si="8"/>
        <v>1.0613599999999996</v>
      </c>
      <c r="I120" s="4">
        <f t="shared" si="9"/>
        <v>0.99694249999999984</v>
      </c>
      <c r="J120" s="4">
        <f t="shared" si="10"/>
        <v>0.88957999999999982</v>
      </c>
      <c r="K120" s="4">
        <v>0.36559999999999998</v>
      </c>
      <c r="L120" s="4">
        <f t="shared" si="11"/>
        <v>0.63871999999999973</v>
      </c>
      <c r="M120" s="4">
        <f t="shared" si="12"/>
        <v>0.58750999999999975</v>
      </c>
      <c r="N120" s="4">
        <f t="shared" si="13"/>
        <v>0.50215999999999972</v>
      </c>
      <c r="O120" s="5">
        <v>0.2</v>
      </c>
      <c r="P120" s="6"/>
      <c r="Q120" s="6"/>
      <c r="R120" s="23" t="s">
        <v>162</v>
      </c>
      <c r="S120" s="24" t="s">
        <v>417</v>
      </c>
    </row>
    <row r="121" spans="1:19" s="25" customFormat="1" x14ac:dyDescent="0.3">
      <c r="A121" s="19" t="str">
        <f t="shared" si="7"/>
        <v>01</v>
      </c>
      <c r="B121" s="20" t="s">
        <v>163</v>
      </c>
      <c r="C121" s="21" t="s">
        <v>164</v>
      </c>
      <c r="D121" s="21">
        <v>84818092</v>
      </c>
      <c r="E121" s="22">
        <v>43592</v>
      </c>
      <c r="F121" s="22">
        <v>45291</v>
      </c>
      <c r="G121" s="4">
        <v>0.71779999999999999</v>
      </c>
      <c r="H121" s="4">
        <f t="shared" si="8"/>
        <v>1.011082926829268</v>
      </c>
      <c r="I121" s="4">
        <f t="shared" si="9"/>
        <v>0.94823658536585342</v>
      </c>
      <c r="J121" s="4">
        <f t="shared" si="10"/>
        <v>0.843492682926829</v>
      </c>
      <c r="K121" s="4">
        <v>0.36559999999999998</v>
      </c>
      <c r="L121" s="4">
        <f t="shared" si="11"/>
        <v>0.5987512195121949</v>
      </c>
      <c r="M121" s="4">
        <f t="shared" si="12"/>
        <v>0.54879024390243858</v>
      </c>
      <c r="N121" s="4">
        <f t="shared" si="13"/>
        <v>0.4655219512195119</v>
      </c>
      <c r="O121" s="5">
        <v>0.18</v>
      </c>
      <c r="P121" s="6"/>
      <c r="Q121" s="6"/>
      <c r="R121" s="23" t="s">
        <v>165</v>
      </c>
      <c r="S121" s="24" t="s">
        <v>22</v>
      </c>
    </row>
    <row r="122" spans="1:19" x14ac:dyDescent="0.3">
      <c r="A122" s="19" t="str">
        <f t="shared" si="7"/>
        <v>01</v>
      </c>
      <c r="B122" s="20" t="s">
        <v>163</v>
      </c>
      <c r="C122" s="21" t="s">
        <v>164</v>
      </c>
      <c r="D122" s="21">
        <v>84818092</v>
      </c>
      <c r="E122" s="22">
        <v>45292</v>
      </c>
      <c r="F122" s="21"/>
      <c r="G122" s="4">
        <v>0.71779999999999999</v>
      </c>
      <c r="H122" s="4">
        <f t="shared" si="8"/>
        <v>1.0613599999999996</v>
      </c>
      <c r="I122" s="4">
        <f t="shared" si="9"/>
        <v>0.99694249999999984</v>
      </c>
      <c r="J122" s="4">
        <f t="shared" si="10"/>
        <v>0.88957999999999982</v>
      </c>
      <c r="K122" s="4">
        <v>0.36559999999999998</v>
      </c>
      <c r="L122" s="4">
        <f t="shared" si="11"/>
        <v>0.63871999999999973</v>
      </c>
      <c r="M122" s="4">
        <f t="shared" si="12"/>
        <v>0.58750999999999975</v>
      </c>
      <c r="N122" s="4">
        <f t="shared" si="13"/>
        <v>0.50215999999999972</v>
      </c>
      <c r="O122" s="5">
        <v>0.2</v>
      </c>
      <c r="P122" s="6"/>
      <c r="Q122" s="6"/>
      <c r="R122" s="23" t="s">
        <v>165</v>
      </c>
      <c r="S122" s="24" t="s">
        <v>417</v>
      </c>
    </row>
    <row r="123" spans="1:19" x14ac:dyDescent="0.3">
      <c r="A123" s="19" t="str">
        <f t="shared" si="7"/>
        <v>01</v>
      </c>
      <c r="B123" s="20" t="s">
        <v>166</v>
      </c>
      <c r="C123" s="21" t="s">
        <v>167</v>
      </c>
      <c r="D123" s="21">
        <v>8482</v>
      </c>
      <c r="E123" s="22">
        <v>43592</v>
      </c>
      <c r="F123" s="22">
        <v>45291</v>
      </c>
      <c r="G123" s="4">
        <v>0.71779999999999999</v>
      </c>
      <c r="H123" s="4">
        <f t="shared" si="8"/>
        <v>1.011082926829268</v>
      </c>
      <c r="I123" s="4">
        <f t="shared" si="9"/>
        <v>0.94823658536585342</v>
      </c>
      <c r="J123" s="4">
        <f t="shared" si="10"/>
        <v>0.843492682926829</v>
      </c>
      <c r="K123" s="4">
        <v>0.36559999999999998</v>
      </c>
      <c r="L123" s="4">
        <f t="shared" si="11"/>
        <v>0.5987512195121949</v>
      </c>
      <c r="M123" s="4">
        <f t="shared" si="12"/>
        <v>0.54879024390243858</v>
      </c>
      <c r="N123" s="4">
        <f t="shared" si="13"/>
        <v>0.4655219512195119</v>
      </c>
      <c r="O123" s="5">
        <v>0.18</v>
      </c>
      <c r="P123" s="6"/>
      <c r="Q123" s="6"/>
      <c r="R123" s="23" t="s">
        <v>168</v>
      </c>
      <c r="S123" s="24" t="s">
        <v>22</v>
      </c>
    </row>
    <row r="124" spans="1:19" x14ac:dyDescent="0.3">
      <c r="A124" s="19" t="str">
        <f t="shared" si="7"/>
        <v>01</v>
      </c>
      <c r="B124" s="20" t="s">
        <v>166</v>
      </c>
      <c r="C124" s="21" t="s">
        <v>167</v>
      </c>
      <c r="D124" s="21">
        <v>8482</v>
      </c>
      <c r="E124" s="22">
        <v>45292</v>
      </c>
      <c r="F124" s="21"/>
      <c r="G124" s="4">
        <v>0.71779999999999999</v>
      </c>
      <c r="H124" s="4">
        <f t="shared" si="8"/>
        <v>1.0613599999999996</v>
      </c>
      <c r="I124" s="4">
        <f t="shared" si="9"/>
        <v>0.99694249999999984</v>
      </c>
      <c r="J124" s="4">
        <f t="shared" si="10"/>
        <v>0.88957999999999982</v>
      </c>
      <c r="K124" s="4">
        <v>0.36559999999999998</v>
      </c>
      <c r="L124" s="4">
        <f t="shared" si="11"/>
        <v>0.63871999999999973</v>
      </c>
      <c r="M124" s="4">
        <f t="shared" si="12"/>
        <v>0.58750999999999975</v>
      </c>
      <c r="N124" s="4">
        <f t="shared" si="13"/>
        <v>0.50215999999999972</v>
      </c>
      <c r="O124" s="5">
        <v>0.2</v>
      </c>
      <c r="P124" s="6"/>
      <c r="Q124" s="6"/>
      <c r="R124" s="23" t="s">
        <v>168</v>
      </c>
      <c r="S124" s="24" t="s">
        <v>417</v>
      </c>
    </row>
    <row r="125" spans="1:19" x14ac:dyDescent="0.3">
      <c r="A125" s="19" t="str">
        <f t="shared" si="7"/>
        <v>01</v>
      </c>
      <c r="B125" s="20" t="s">
        <v>169</v>
      </c>
      <c r="C125" s="21" t="s">
        <v>170</v>
      </c>
      <c r="D125" s="21">
        <v>8483</v>
      </c>
      <c r="E125" s="22">
        <v>43592</v>
      </c>
      <c r="F125" s="22">
        <v>45291</v>
      </c>
      <c r="G125" s="4">
        <v>0.71779999999999999</v>
      </c>
      <c r="H125" s="4">
        <f t="shared" si="8"/>
        <v>1.011082926829268</v>
      </c>
      <c r="I125" s="4">
        <f t="shared" si="9"/>
        <v>0.94823658536585342</v>
      </c>
      <c r="J125" s="4">
        <f t="shared" si="10"/>
        <v>0.843492682926829</v>
      </c>
      <c r="K125" s="4">
        <v>0.36559999999999998</v>
      </c>
      <c r="L125" s="4">
        <f t="shared" si="11"/>
        <v>0.5987512195121949</v>
      </c>
      <c r="M125" s="4">
        <f t="shared" si="12"/>
        <v>0.54879024390243858</v>
      </c>
      <c r="N125" s="4">
        <f t="shared" si="13"/>
        <v>0.4655219512195119</v>
      </c>
      <c r="O125" s="5">
        <v>0.18</v>
      </c>
      <c r="P125" s="6"/>
      <c r="Q125" s="6"/>
      <c r="R125" s="23" t="s">
        <v>171</v>
      </c>
      <c r="S125" s="24" t="s">
        <v>22</v>
      </c>
    </row>
    <row r="126" spans="1:19" x14ac:dyDescent="0.3">
      <c r="A126" s="19" t="str">
        <f t="shared" si="7"/>
        <v>01</v>
      </c>
      <c r="B126" s="20" t="s">
        <v>169</v>
      </c>
      <c r="C126" s="21" t="s">
        <v>170</v>
      </c>
      <c r="D126" s="21">
        <v>8483</v>
      </c>
      <c r="E126" s="22">
        <v>45292</v>
      </c>
      <c r="F126" s="21"/>
      <c r="G126" s="4">
        <v>0.71779999999999999</v>
      </c>
      <c r="H126" s="4">
        <f t="shared" si="8"/>
        <v>1.0613599999999996</v>
      </c>
      <c r="I126" s="4">
        <f t="shared" si="9"/>
        <v>0.99694249999999984</v>
      </c>
      <c r="J126" s="4">
        <f t="shared" si="10"/>
        <v>0.88957999999999982</v>
      </c>
      <c r="K126" s="4">
        <v>0.36559999999999998</v>
      </c>
      <c r="L126" s="4">
        <f t="shared" si="11"/>
        <v>0.63871999999999973</v>
      </c>
      <c r="M126" s="4">
        <f t="shared" si="12"/>
        <v>0.58750999999999975</v>
      </c>
      <c r="N126" s="4">
        <f t="shared" si="13"/>
        <v>0.50215999999999972</v>
      </c>
      <c r="O126" s="5">
        <v>0.2</v>
      </c>
      <c r="P126" s="6"/>
      <c r="Q126" s="6"/>
      <c r="R126" s="23" t="s">
        <v>171</v>
      </c>
      <c r="S126" s="24" t="s">
        <v>417</v>
      </c>
    </row>
    <row r="127" spans="1:19" x14ac:dyDescent="0.3">
      <c r="A127" s="19" t="str">
        <f t="shared" si="7"/>
        <v>01</v>
      </c>
      <c r="B127" s="20" t="s">
        <v>172</v>
      </c>
      <c r="C127" s="21" t="s">
        <v>173</v>
      </c>
      <c r="D127" s="21">
        <v>8484</v>
      </c>
      <c r="E127" s="22">
        <v>43592</v>
      </c>
      <c r="F127" s="22">
        <v>45291</v>
      </c>
      <c r="G127" s="4">
        <v>0.71779999999999999</v>
      </c>
      <c r="H127" s="4">
        <f t="shared" si="8"/>
        <v>1.011082926829268</v>
      </c>
      <c r="I127" s="4">
        <f t="shared" si="9"/>
        <v>0.94823658536585342</v>
      </c>
      <c r="J127" s="4">
        <f t="shared" si="10"/>
        <v>0.843492682926829</v>
      </c>
      <c r="K127" s="4">
        <v>0.36559999999999998</v>
      </c>
      <c r="L127" s="4">
        <f t="shared" si="11"/>
        <v>0.5987512195121949</v>
      </c>
      <c r="M127" s="4">
        <f t="shared" si="12"/>
        <v>0.54879024390243858</v>
      </c>
      <c r="N127" s="4">
        <f t="shared" si="13"/>
        <v>0.4655219512195119</v>
      </c>
      <c r="O127" s="5">
        <v>0.18</v>
      </c>
      <c r="P127" s="6"/>
      <c r="Q127" s="6"/>
      <c r="R127" s="23" t="s">
        <v>174</v>
      </c>
      <c r="S127" s="24" t="s">
        <v>22</v>
      </c>
    </row>
    <row r="128" spans="1:19" x14ac:dyDescent="0.3">
      <c r="A128" s="19" t="str">
        <f t="shared" si="7"/>
        <v>01</v>
      </c>
      <c r="B128" s="20" t="s">
        <v>172</v>
      </c>
      <c r="C128" s="21" t="s">
        <v>173</v>
      </c>
      <c r="D128" s="21">
        <v>8484</v>
      </c>
      <c r="E128" s="22">
        <v>45292</v>
      </c>
      <c r="F128" s="21"/>
      <c r="G128" s="4">
        <v>0.71779999999999999</v>
      </c>
      <c r="H128" s="4">
        <f t="shared" si="8"/>
        <v>1.0613599999999996</v>
      </c>
      <c r="I128" s="4">
        <f t="shared" si="9"/>
        <v>0.99694249999999984</v>
      </c>
      <c r="J128" s="4">
        <f t="shared" si="10"/>
        <v>0.88957999999999982</v>
      </c>
      <c r="K128" s="4">
        <v>0.36559999999999998</v>
      </c>
      <c r="L128" s="4">
        <f t="shared" si="11"/>
        <v>0.63871999999999973</v>
      </c>
      <c r="M128" s="4">
        <f t="shared" si="12"/>
        <v>0.58750999999999975</v>
      </c>
      <c r="N128" s="4">
        <f t="shared" si="13"/>
        <v>0.50215999999999972</v>
      </c>
      <c r="O128" s="5">
        <v>0.2</v>
      </c>
      <c r="P128" s="6"/>
      <c r="Q128" s="6"/>
      <c r="R128" s="23" t="s">
        <v>174</v>
      </c>
      <c r="S128" s="24" t="s">
        <v>417</v>
      </c>
    </row>
    <row r="129" spans="1:19" x14ac:dyDescent="0.3">
      <c r="A129" s="19" t="str">
        <f t="shared" si="7"/>
        <v>01</v>
      </c>
      <c r="B129" s="20" t="s">
        <v>175</v>
      </c>
      <c r="C129" s="21" t="s">
        <v>176</v>
      </c>
      <c r="D129" s="21">
        <v>850520</v>
      </c>
      <c r="E129" s="22">
        <v>43592</v>
      </c>
      <c r="F129" s="22">
        <v>45291</v>
      </c>
      <c r="G129" s="4">
        <v>0.71779999999999999</v>
      </c>
      <c r="H129" s="4">
        <f t="shared" si="8"/>
        <v>1.011082926829268</v>
      </c>
      <c r="I129" s="4">
        <f t="shared" si="9"/>
        <v>0.94823658536585342</v>
      </c>
      <c r="J129" s="4">
        <f t="shared" si="10"/>
        <v>0.843492682926829</v>
      </c>
      <c r="K129" s="4">
        <v>0.36559999999999998</v>
      </c>
      <c r="L129" s="4">
        <f t="shared" si="11"/>
        <v>0.5987512195121949</v>
      </c>
      <c r="M129" s="4">
        <f t="shared" si="12"/>
        <v>0.54879024390243858</v>
      </c>
      <c r="N129" s="4">
        <f t="shared" si="13"/>
        <v>0.4655219512195119</v>
      </c>
      <c r="O129" s="5">
        <v>0.18</v>
      </c>
      <c r="P129" s="6"/>
      <c r="Q129" s="6"/>
      <c r="R129" s="23" t="s">
        <v>177</v>
      </c>
      <c r="S129" s="24" t="s">
        <v>22</v>
      </c>
    </row>
    <row r="130" spans="1:19" x14ac:dyDescent="0.3">
      <c r="A130" s="19" t="str">
        <f t="shared" ref="A130:A193" si="14">LEFT(C130,2)</f>
        <v>01</v>
      </c>
      <c r="B130" s="20" t="s">
        <v>175</v>
      </c>
      <c r="C130" s="21" t="s">
        <v>176</v>
      </c>
      <c r="D130" s="21">
        <v>850520</v>
      </c>
      <c r="E130" s="22">
        <v>45292</v>
      </c>
      <c r="F130" s="21"/>
      <c r="G130" s="4">
        <v>0.71779999999999999</v>
      </c>
      <c r="H130" s="4">
        <f t="shared" ref="H130:H193" si="15">((1+$G130)*(1-4%)/(1-$O130))-1</f>
        <v>1.0613599999999996</v>
      </c>
      <c r="I130" s="4">
        <f t="shared" ref="I130:I193" si="16">((1+$G130)*(1-7%)/(1-$O130))-1</f>
        <v>0.99694249999999984</v>
      </c>
      <c r="J130" s="4">
        <f t="shared" ref="J130:J193" si="17">((1+$G130)*(1-12%)/(1-$O130))-1</f>
        <v>0.88957999999999982</v>
      </c>
      <c r="K130" s="4">
        <v>0.36559999999999998</v>
      </c>
      <c r="L130" s="4">
        <f t="shared" ref="L130:L193" si="18">((1+$K130)*(1-4%)/(1-$O130))-1</f>
        <v>0.63871999999999973</v>
      </c>
      <c r="M130" s="4">
        <f t="shared" ref="M130:M193" si="19">((1+$K130)*(1-7%)/(1-$O130))-1</f>
        <v>0.58750999999999975</v>
      </c>
      <c r="N130" s="4">
        <f t="shared" ref="N130:N193" si="20">((1+$K130)*(1-12%)/(1-$O130))-1</f>
        <v>0.50215999999999972</v>
      </c>
      <c r="O130" s="5">
        <v>0.2</v>
      </c>
      <c r="P130" s="6"/>
      <c r="Q130" s="6"/>
      <c r="R130" s="23" t="s">
        <v>177</v>
      </c>
      <c r="S130" s="24" t="s">
        <v>417</v>
      </c>
    </row>
    <row r="131" spans="1:19" x14ac:dyDescent="0.3">
      <c r="A131" s="19" t="str">
        <f t="shared" si="14"/>
        <v>01</v>
      </c>
      <c r="B131" s="20" t="s">
        <v>178</v>
      </c>
      <c r="C131" s="21" t="s">
        <v>179</v>
      </c>
      <c r="D131" s="21">
        <v>850710</v>
      </c>
      <c r="E131" s="22">
        <v>43592</v>
      </c>
      <c r="F131" s="22">
        <v>45291</v>
      </c>
      <c r="G131" s="4">
        <v>0.71779999999999999</v>
      </c>
      <c r="H131" s="4">
        <f t="shared" si="15"/>
        <v>1.011082926829268</v>
      </c>
      <c r="I131" s="4">
        <f t="shared" si="16"/>
        <v>0.94823658536585342</v>
      </c>
      <c r="J131" s="4">
        <f t="shared" si="17"/>
        <v>0.843492682926829</v>
      </c>
      <c r="K131" s="4">
        <v>0.36559999999999998</v>
      </c>
      <c r="L131" s="4">
        <f t="shared" si="18"/>
        <v>0.5987512195121949</v>
      </c>
      <c r="M131" s="4">
        <f t="shared" si="19"/>
        <v>0.54879024390243858</v>
      </c>
      <c r="N131" s="4">
        <f t="shared" si="20"/>
        <v>0.4655219512195119</v>
      </c>
      <c r="O131" s="5">
        <v>0.18</v>
      </c>
      <c r="P131" s="6"/>
      <c r="Q131" s="6"/>
      <c r="R131" s="23" t="s">
        <v>180</v>
      </c>
      <c r="S131" s="24" t="s">
        <v>22</v>
      </c>
    </row>
    <row r="132" spans="1:19" x14ac:dyDescent="0.3">
      <c r="A132" s="19" t="str">
        <f t="shared" si="14"/>
        <v>01</v>
      </c>
      <c r="B132" s="20" t="s">
        <v>178</v>
      </c>
      <c r="C132" s="21" t="s">
        <v>179</v>
      </c>
      <c r="D132" s="21">
        <v>850710</v>
      </c>
      <c r="E132" s="22">
        <v>45292</v>
      </c>
      <c r="F132" s="21"/>
      <c r="G132" s="4">
        <v>0.71779999999999999</v>
      </c>
      <c r="H132" s="4">
        <f t="shared" si="15"/>
        <v>1.0613599999999996</v>
      </c>
      <c r="I132" s="4">
        <f t="shared" si="16"/>
        <v>0.99694249999999984</v>
      </c>
      <c r="J132" s="4">
        <f t="shared" si="17"/>
        <v>0.88957999999999982</v>
      </c>
      <c r="K132" s="4">
        <v>0.36559999999999998</v>
      </c>
      <c r="L132" s="4">
        <f t="shared" si="18"/>
        <v>0.63871999999999973</v>
      </c>
      <c r="M132" s="4">
        <f t="shared" si="19"/>
        <v>0.58750999999999975</v>
      </c>
      <c r="N132" s="4">
        <f t="shared" si="20"/>
        <v>0.50215999999999972</v>
      </c>
      <c r="O132" s="5">
        <v>0.2</v>
      </c>
      <c r="P132" s="6"/>
      <c r="Q132" s="6"/>
      <c r="R132" s="23" t="s">
        <v>180</v>
      </c>
      <c r="S132" s="24" t="s">
        <v>417</v>
      </c>
    </row>
    <row r="133" spans="1:19" x14ac:dyDescent="0.3">
      <c r="A133" s="19" t="str">
        <f t="shared" si="14"/>
        <v>01</v>
      </c>
      <c r="B133" s="20" t="s">
        <v>181</v>
      </c>
      <c r="C133" s="21" t="s">
        <v>182</v>
      </c>
      <c r="D133" s="21">
        <v>85071010</v>
      </c>
      <c r="E133" s="22">
        <v>43592</v>
      </c>
      <c r="F133" s="22">
        <v>45291</v>
      </c>
      <c r="G133" s="4">
        <v>0.71779999999999999</v>
      </c>
      <c r="H133" s="4">
        <f t="shared" si="15"/>
        <v>1.011082926829268</v>
      </c>
      <c r="I133" s="4">
        <f t="shared" si="16"/>
        <v>0.94823658536585342</v>
      </c>
      <c r="J133" s="4">
        <f t="shared" si="17"/>
        <v>0.843492682926829</v>
      </c>
      <c r="K133" s="4">
        <v>0.36559999999999998</v>
      </c>
      <c r="L133" s="4">
        <f t="shared" si="18"/>
        <v>0.5987512195121949</v>
      </c>
      <c r="M133" s="4">
        <f t="shared" si="19"/>
        <v>0.54879024390243858</v>
      </c>
      <c r="N133" s="4">
        <f t="shared" si="20"/>
        <v>0.4655219512195119</v>
      </c>
      <c r="O133" s="5">
        <v>0.18</v>
      </c>
      <c r="P133" s="6"/>
      <c r="Q133" s="6"/>
      <c r="R133" s="23" t="s">
        <v>183</v>
      </c>
      <c r="S133" s="24" t="s">
        <v>22</v>
      </c>
    </row>
    <row r="134" spans="1:19" x14ac:dyDescent="0.3">
      <c r="A134" s="19" t="str">
        <f t="shared" si="14"/>
        <v>01</v>
      </c>
      <c r="B134" s="20" t="s">
        <v>181</v>
      </c>
      <c r="C134" s="21" t="s">
        <v>182</v>
      </c>
      <c r="D134" s="21">
        <v>85071010</v>
      </c>
      <c r="E134" s="22">
        <v>45292</v>
      </c>
      <c r="F134" s="21"/>
      <c r="G134" s="4">
        <v>0.71779999999999999</v>
      </c>
      <c r="H134" s="4">
        <f t="shared" si="15"/>
        <v>1.0613599999999996</v>
      </c>
      <c r="I134" s="4">
        <f t="shared" si="16"/>
        <v>0.99694249999999984</v>
      </c>
      <c r="J134" s="4">
        <f t="shared" si="17"/>
        <v>0.88957999999999982</v>
      </c>
      <c r="K134" s="4">
        <v>0.36559999999999998</v>
      </c>
      <c r="L134" s="4">
        <f t="shared" si="18"/>
        <v>0.63871999999999973</v>
      </c>
      <c r="M134" s="4">
        <f t="shared" si="19"/>
        <v>0.58750999999999975</v>
      </c>
      <c r="N134" s="4">
        <f t="shared" si="20"/>
        <v>0.50215999999999972</v>
      </c>
      <c r="O134" s="5">
        <v>0.2</v>
      </c>
      <c r="P134" s="6"/>
      <c r="Q134" s="6"/>
      <c r="R134" s="23" t="s">
        <v>183</v>
      </c>
      <c r="S134" s="24" t="s">
        <v>417</v>
      </c>
    </row>
    <row r="135" spans="1:19" x14ac:dyDescent="0.3">
      <c r="A135" s="19" t="str">
        <f t="shared" si="14"/>
        <v>01</v>
      </c>
      <c r="B135" s="20" t="s">
        <v>184</v>
      </c>
      <c r="C135" s="21" t="s">
        <v>185</v>
      </c>
      <c r="D135" s="21">
        <v>8511</v>
      </c>
      <c r="E135" s="22">
        <v>43592</v>
      </c>
      <c r="F135" s="22">
        <v>45291</v>
      </c>
      <c r="G135" s="4">
        <v>0.71779999999999999</v>
      </c>
      <c r="H135" s="4">
        <f t="shared" si="15"/>
        <v>1.011082926829268</v>
      </c>
      <c r="I135" s="4">
        <f t="shared" si="16"/>
        <v>0.94823658536585342</v>
      </c>
      <c r="J135" s="4">
        <f t="shared" si="17"/>
        <v>0.843492682926829</v>
      </c>
      <c r="K135" s="4">
        <v>0.36559999999999998</v>
      </c>
      <c r="L135" s="4">
        <f t="shared" si="18"/>
        <v>0.5987512195121949</v>
      </c>
      <c r="M135" s="4">
        <f t="shared" si="19"/>
        <v>0.54879024390243858</v>
      </c>
      <c r="N135" s="4">
        <f t="shared" si="20"/>
        <v>0.4655219512195119</v>
      </c>
      <c r="O135" s="5">
        <v>0.18</v>
      </c>
      <c r="P135" s="6"/>
      <c r="Q135" s="6"/>
      <c r="R135" s="23" t="s">
        <v>186</v>
      </c>
      <c r="S135" s="24" t="s">
        <v>22</v>
      </c>
    </row>
    <row r="136" spans="1:19" x14ac:dyDescent="0.3">
      <c r="A136" s="19" t="str">
        <f t="shared" si="14"/>
        <v>01</v>
      </c>
      <c r="B136" s="20" t="s">
        <v>184</v>
      </c>
      <c r="C136" s="21" t="s">
        <v>185</v>
      </c>
      <c r="D136" s="21">
        <v>8511</v>
      </c>
      <c r="E136" s="22">
        <v>45292</v>
      </c>
      <c r="F136" s="21"/>
      <c r="G136" s="4">
        <v>0.71779999999999999</v>
      </c>
      <c r="H136" s="4">
        <f t="shared" si="15"/>
        <v>1.0613599999999996</v>
      </c>
      <c r="I136" s="4">
        <f t="shared" si="16"/>
        <v>0.99694249999999984</v>
      </c>
      <c r="J136" s="4">
        <f t="shared" si="17"/>
        <v>0.88957999999999982</v>
      </c>
      <c r="K136" s="4">
        <v>0.36559999999999998</v>
      </c>
      <c r="L136" s="4">
        <f t="shared" si="18"/>
        <v>0.63871999999999973</v>
      </c>
      <c r="M136" s="4">
        <f t="shared" si="19"/>
        <v>0.58750999999999975</v>
      </c>
      <c r="N136" s="4">
        <f t="shared" si="20"/>
        <v>0.50215999999999972</v>
      </c>
      <c r="O136" s="5">
        <v>0.2</v>
      </c>
      <c r="P136" s="6"/>
      <c r="Q136" s="6"/>
      <c r="R136" s="23" t="s">
        <v>186</v>
      </c>
      <c r="S136" s="24" t="s">
        <v>417</v>
      </c>
    </row>
    <row r="137" spans="1:19" x14ac:dyDescent="0.3">
      <c r="A137" s="19" t="str">
        <f t="shared" si="14"/>
        <v>01</v>
      </c>
      <c r="B137" s="20" t="s">
        <v>187</v>
      </c>
      <c r="C137" s="21" t="s">
        <v>188</v>
      </c>
      <c r="D137" s="21">
        <v>851220</v>
      </c>
      <c r="E137" s="22">
        <v>43592</v>
      </c>
      <c r="F137" s="22">
        <v>45291</v>
      </c>
      <c r="G137" s="4">
        <v>0.71779999999999999</v>
      </c>
      <c r="H137" s="4">
        <f t="shared" si="15"/>
        <v>1.011082926829268</v>
      </c>
      <c r="I137" s="4">
        <f t="shared" si="16"/>
        <v>0.94823658536585342</v>
      </c>
      <c r="J137" s="4">
        <f t="shared" si="17"/>
        <v>0.843492682926829</v>
      </c>
      <c r="K137" s="4">
        <v>0.36559999999999998</v>
      </c>
      <c r="L137" s="4">
        <f t="shared" si="18"/>
        <v>0.5987512195121949</v>
      </c>
      <c r="M137" s="4">
        <f t="shared" si="19"/>
        <v>0.54879024390243858</v>
      </c>
      <c r="N137" s="4">
        <f t="shared" si="20"/>
        <v>0.4655219512195119</v>
      </c>
      <c r="O137" s="5">
        <v>0.18</v>
      </c>
      <c r="P137" s="6"/>
      <c r="Q137" s="6"/>
      <c r="R137" s="23" t="s">
        <v>189</v>
      </c>
      <c r="S137" s="24" t="s">
        <v>22</v>
      </c>
    </row>
    <row r="138" spans="1:19" x14ac:dyDescent="0.3">
      <c r="A138" s="19" t="str">
        <f t="shared" si="14"/>
        <v>01</v>
      </c>
      <c r="B138" s="20" t="s">
        <v>187</v>
      </c>
      <c r="C138" s="21" t="s">
        <v>188</v>
      </c>
      <c r="D138" s="21">
        <v>851220</v>
      </c>
      <c r="E138" s="22">
        <v>45292</v>
      </c>
      <c r="F138" s="21"/>
      <c r="G138" s="4">
        <v>0.71779999999999999</v>
      </c>
      <c r="H138" s="4">
        <f t="shared" si="15"/>
        <v>1.0613599999999996</v>
      </c>
      <c r="I138" s="4">
        <f t="shared" si="16"/>
        <v>0.99694249999999984</v>
      </c>
      <c r="J138" s="4">
        <f t="shared" si="17"/>
        <v>0.88957999999999982</v>
      </c>
      <c r="K138" s="4">
        <v>0.36559999999999998</v>
      </c>
      <c r="L138" s="4">
        <f t="shared" si="18"/>
        <v>0.63871999999999973</v>
      </c>
      <c r="M138" s="4">
        <f t="shared" si="19"/>
        <v>0.58750999999999975</v>
      </c>
      <c r="N138" s="4">
        <f t="shared" si="20"/>
        <v>0.50215999999999972</v>
      </c>
      <c r="O138" s="5">
        <v>0.2</v>
      </c>
      <c r="P138" s="6"/>
      <c r="Q138" s="6"/>
      <c r="R138" s="23" t="s">
        <v>189</v>
      </c>
      <c r="S138" s="24" t="s">
        <v>417</v>
      </c>
    </row>
    <row r="139" spans="1:19" x14ac:dyDescent="0.3">
      <c r="A139" s="19" t="str">
        <f t="shared" si="14"/>
        <v>01</v>
      </c>
      <c r="B139" s="20" t="s">
        <v>187</v>
      </c>
      <c r="C139" s="21" t="s">
        <v>188</v>
      </c>
      <c r="D139" s="21">
        <v>851240</v>
      </c>
      <c r="E139" s="22">
        <v>43592</v>
      </c>
      <c r="F139" s="22">
        <v>45291</v>
      </c>
      <c r="G139" s="4">
        <v>0.71779999999999999</v>
      </c>
      <c r="H139" s="4">
        <f t="shared" si="15"/>
        <v>1.011082926829268</v>
      </c>
      <c r="I139" s="4">
        <f t="shared" si="16"/>
        <v>0.94823658536585342</v>
      </c>
      <c r="J139" s="4">
        <f t="shared" si="17"/>
        <v>0.843492682926829</v>
      </c>
      <c r="K139" s="4">
        <v>0.36559999999999998</v>
      </c>
      <c r="L139" s="4">
        <f t="shared" si="18"/>
        <v>0.5987512195121949</v>
      </c>
      <c r="M139" s="4">
        <f t="shared" si="19"/>
        <v>0.54879024390243858</v>
      </c>
      <c r="N139" s="4">
        <f t="shared" si="20"/>
        <v>0.4655219512195119</v>
      </c>
      <c r="O139" s="5">
        <v>0.18</v>
      </c>
      <c r="P139" s="6"/>
      <c r="Q139" s="6"/>
      <c r="R139" s="23" t="s">
        <v>189</v>
      </c>
      <c r="S139" s="24" t="s">
        <v>22</v>
      </c>
    </row>
    <row r="140" spans="1:19" x14ac:dyDescent="0.3">
      <c r="A140" s="19" t="str">
        <f t="shared" si="14"/>
        <v>01</v>
      </c>
      <c r="B140" s="20" t="s">
        <v>187</v>
      </c>
      <c r="C140" s="21" t="s">
        <v>188</v>
      </c>
      <c r="D140" s="21">
        <v>851240</v>
      </c>
      <c r="E140" s="22">
        <v>45292</v>
      </c>
      <c r="F140" s="21"/>
      <c r="G140" s="4">
        <v>0.71779999999999999</v>
      </c>
      <c r="H140" s="4">
        <f t="shared" si="15"/>
        <v>1.0613599999999996</v>
      </c>
      <c r="I140" s="4">
        <f t="shared" si="16"/>
        <v>0.99694249999999984</v>
      </c>
      <c r="J140" s="4">
        <f t="shared" si="17"/>
        <v>0.88957999999999982</v>
      </c>
      <c r="K140" s="4">
        <v>0.36559999999999998</v>
      </c>
      <c r="L140" s="4">
        <f t="shared" si="18"/>
        <v>0.63871999999999973</v>
      </c>
      <c r="M140" s="4">
        <f t="shared" si="19"/>
        <v>0.58750999999999975</v>
      </c>
      <c r="N140" s="4">
        <f t="shared" si="20"/>
        <v>0.50215999999999972</v>
      </c>
      <c r="O140" s="5">
        <v>0.2</v>
      </c>
      <c r="P140" s="6"/>
      <c r="Q140" s="6"/>
      <c r="R140" s="23" t="s">
        <v>189</v>
      </c>
      <c r="S140" s="24" t="s">
        <v>417</v>
      </c>
    </row>
    <row r="141" spans="1:19" x14ac:dyDescent="0.3">
      <c r="A141" s="19" t="str">
        <f t="shared" si="14"/>
        <v>01</v>
      </c>
      <c r="B141" s="20" t="s">
        <v>187</v>
      </c>
      <c r="C141" s="21" t="s">
        <v>188</v>
      </c>
      <c r="D141" s="21">
        <v>85129000</v>
      </c>
      <c r="E141" s="22">
        <v>43592</v>
      </c>
      <c r="F141" s="22">
        <v>45291</v>
      </c>
      <c r="G141" s="4">
        <v>0.71779999999999999</v>
      </c>
      <c r="H141" s="4">
        <f t="shared" si="15"/>
        <v>1.011082926829268</v>
      </c>
      <c r="I141" s="4">
        <f t="shared" si="16"/>
        <v>0.94823658536585342</v>
      </c>
      <c r="J141" s="4">
        <f t="shared" si="17"/>
        <v>0.843492682926829</v>
      </c>
      <c r="K141" s="4">
        <v>0.36559999999999998</v>
      </c>
      <c r="L141" s="4">
        <f t="shared" si="18"/>
        <v>0.5987512195121949</v>
      </c>
      <c r="M141" s="4">
        <f t="shared" si="19"/>
        <v>0.54879024390243858</v>
      </c>
      <c r="N141" s="4">
        <f t="shared" si="20"/>
        <v>0.4655219512195119</v>
      </c>
      <c r="O141" s="5">
        <v>0.18</v>
      </c>
      <c r="P141" s="6"/>
      <c r="Q141" s="6"/>
      <c r="R141" s="23" t="s">
        <v>189</v>
      </c>
      <c r="S141" s="24" t="s">
        <v>22</v>
      </c>
    </row>
    <row r="142" spans="1:19" s="25" customFormat="1" x14ac:dyDescent="0.3">
      <c r="A142" s="19" t="str">
        <f t="shared" si="14"/>
        <v>01</v>
      </c>
      <c r="B142" s="20" t="s">
        <v>187</v>
      </c>
      <c r="C142" s="21" t="s">
        <v>188</v>
      </c>
      <c r="D142" s="21">
        <v>85129000</v>
      </c>
      <c r="E142" s="22">
        <v>45292</v>
      </c>
      <c r="F142" s="21"/>
      <c r="G142" s="4">
        <v>0.71779999999999999</v>
      </c>
      <c r="H142" s="4">
        <f t="shared" si="15"/>
        <v>1.0613599999999996</v>
      </c>
      <c r="I142" s="4">
        <f t="shared" si="16"/>
        <v>0.99694249999999984</v>
      </c>
      <c r="J142" s="4">
        <f t="shared" si="17"/>
        <v>0.88957999999999982</v>
      </c>
      <c r="K142" s="4">
        <v>0.36559999999999998</v>
      </c>
      <c r="L142" s="4">
        <f t="shared" si="18"/>
        <v>0.63871999999999973</v>
      </c>
      <c r="M142" s="4">
        <f t="shared" si="19"/>
        <v>0.58750999999999975</v>
      </c>
      <c r="N142" s="4">
        <f t="shared" si="20"/>
        <v>0.50215999999999972</v>
      </c>
      <c r="O142" s="5">
        <v>0.2</v>
      </c>
      <c r="P142" s="6"/>
      <c r="Q142" s="6"/>
      <c r="R142" s="23" t="s">
        <v>189</v>
      </c>
      <c r="S142" s="24" t="s">
        <v>417</v>
      </c>
    </row>
    <row r="143" spans="1:19" s="25" customFormat="1" x14ac:dyDescent="0.3">
      <c r="A143" s="26" t="str">
        <f t="shared" si="14"/>
        <v>01</v>
      </c>
      <c r="B143" s="27" t="s">
        <v>190</v>
      </c>
      <c r="C143" s="28" t="s">
        <v>191</v>
      </c>
      <c r="D143" s="28">
        <v>85171213</v>
      </c>
      <c r="E143" s="29">
        <v>43592</v>
      </c>
      <c r="F143" s="29">
        <v>44682</v>
      </c>
      <c r="G143" s="13">
        <v>0.71779999999999999</v>
      </c>
      <c r="H143" s="13">
        <f t="shared" si="15"/>
        <v>1.011082926829268</v>
      </c>
      <c r="I143" s="13">
        <f t="shared" si="16"/>
        <v>0.94823658536585342</v>
      </c>
      <c r="J143" s="13">
        <f t="shared" si="17"/>
        <v>0.843492682926829</v>
      </c>
      <c r="K143" s="13">
        <v>0.36559999999999998</v>
      </c>
      <c r="L143" s="13">
        <f t="shared" si="18"/>
        <v>0.5987512195121949</v>
      </c>
      <c r="M143" s="13">
        <f t="shared" si="19"/>
        <v>0.54879024390243858</v>
      </c>
      <c r="N143" s="13">
        <f t="shared" si="20"/>
        <v>0.4655219512195119</v>
      </c>
      <c r="O143" s="14">
        <v>0.18</v>
      </c>
      <c r="P143" s="15"/>
      <c r="Q143" s="15"/>
      <c r="R143" s="30" t="s">
        <v>192</v>
      </c>
      <c r="S143" s="31" t="s">
        <v>415</v>
      </c>
    </row>
    <row r="144" spans="1:19" s="25" customFormat="1" x14ac:dyDescent="0.3">
      <c r="A144" s="26" t="str">
        <f t="shared" si="14"/>
        <v>01</v>
      </c>
      <c r="B144" s="27" t="s">
        <v>190</v>
      </c>
      <c r="C144" s="28" t="s">
        <v>191</v>
      </c>
      <c r="D144" s="28">
        <v>85171410</v>
      </c>
      <c r="E144" s="29">
        <v>44683</v>
      </c>
      <c r="F144" s="22">
        <v>45291</v>
      </c>
      <c r="G144" s="13">
        <v>0.71779999999999999</v>
      </c>
      <c r="H144" s="13">
        <f t="shared" si="15"/>
        <v>1.011082926829268</v>
      </c>
      <c r="I144" s="13">
        <f t="shared" si="16"/>
        <v>0.94823658536585342</v>
      </c>
      <c r="J144" s="13">
        <f t="shared" si="17"/>
        <v>0.843492682926829</v>
      </c>
      <c r="K144" s="13">
        <v>0.36559999999999998</v>
      </c>
      <c r="L144" s="13">
        <f t="shared" si="18"/>
        <v>0.5987512195121949</v>
      </c>
      <c r="M144" s="13">
        <f t="shared" si="19"/>
        <v>0.54879024390243858</v>
      </c>
      <c r="N144" s="13">
        <f t="shared" si="20"/>
        <v>0.4655219512195119</v>
      </c>
      <c r="O144" s="14">
        <v>0.18</v>
      </c>
      <c r="P144" s="15"/>
      <c r="Q144" s="15"/>
      <c r="R144" s="30" t="s">
        <v>192</v>
      </c>
      <c r="S144" s="31" t="s">
        <v>416</v>
      </c>
    </row>
    <row r="145" spans="1:19" s="25" customFormat="1" x14ac:dyDescent="0.3">
      <c r="A145" s="26" t="str">
        <f t="shared" si="14"/>
        <v>01</v>
      </c>
      <c r="B145" s="27" t="s">
        <v>190</v>
      </c>
      <c r="C145" s="28" t="s">
        <v>191</v>
      </c>
      <c r="D145" s="28">
        <v>85171410</v>
      </c>
      <c r="E145" s="22">
        <v>45292</v>
      </c>
      <c r="F145" s="28"/>
      <c r="G145" s="13">
        <v>0.71779999999999999</v>
      </c>
      <c r="H145" s="13">
        <f t="shared" si="15"/>
        <v>1.0613599999999996</v>
      </c>
      <c r="I145" s="13">
        <f t="shared" si="16"/>
        <v>0.99694249999999984</v>
      </c>
      <c r="J145" s="13">
        <f t="shared" si="17"/>
        <v>0.88957999999999982</v>
      </c>
      <c r="K145" s="13">
        <v>0.36559999999999998</v>
      </c>
      <c r="L145" s="13">
        <f t="shared" si="18"/>
        <v>0.63871999999999973</v>
      </c>
      <c r="M145" s="13">
        <f t="shared" si="19"/>
        <v>0.58750999999999975</v>
      </c>
      <c r="N145" s="13">
        <f t="shared" si="20"/>
        <v>0.50215999999999972</v>
      </c>
      <c r="O145" s="5">
        <v>0.2</v>
      </c>
      <c r="P145" s="15"/>
      <c r="Q145" s="15"/>
      <c r="R145" s="30" t="s">
        <v>192</v>
      </c>
      <c r="S145" s="24" t="s">
        <v>417</v>
      </c>
    </row>
    <row r="146" spans="1:19" x14ac:dyDescent="0.3">
      <c r="A146" s="19" t="str">
        <f t="shared" si="14"/>
        <v>01</v>
      </c>
      <c r="B146" s="20" t="s">
        <v>193</v>
      </c>
      <c r="C146" s="21" t="s">
        <v>194</v>
      </c>
      <c r="D146" s="21">
        <v>8518</v>
      </c>
      <c r="E146" s="22">
        <v>43592</v>
      </c>
      <c r="F146" s="22">
        <v>45291</v>
      </c>
      <c r="G146" s="4">
        <v>0.71779999999999999</v>
      </c>
      <c r="H146" s="4">
        <f t="shared" si="15"/>
        <v>1.011082926829268</v>
      </c>
      <c r="I146" s="4">
        <f t="shared" si="16"/>
        <v>0.94823658536585342</v>
      </c>
      <c r="J146" s="4">
        <f t="shared" si="17"/>
        <v>0.843492682926829</v>
      </c>
      <c r="K146" s="4">
        <v>0.36559999999999998</v>
      </c>
      <c r="L146" s="4">
        <f t="shared" si="18"/>
        <v>0.5987512195121949</v>
      </c>
      <c r="M146" s="4">
        <f t="shared" si="19"/>
        <v>0.54879024390243858</v>
      </c>
      <c r="N146" s="4">
        <f t="shared" si="20"/>
        <v>0.4655219512195119</v>
      </c>
      <c r="O146" s="5">
        <v>0.18</v>
      </c>
      <c r="P146" s="6"/>
      <c r="Q146" s="6"/>
      <c r="R146" s="23" t="s">
        <v>195</v>
      </c>
      <c r="S146" s="24" t="s">
        <v>22</v>
      </c>
    </row>
    <row r="147" spans="1:19" x14ac:dyDescent="0.3">
      <c r="A147" s="19" t="str">
        <f t="shared" si="14"/>
        <v>01</v>
      </c>
      <c r="B147" s="20" t="s">
        <v>193</v>
      </c>
      <c r="C147" s="21" t="s">
        <v>194</v>
      </c>
      <c r="D147" s="21">
        <v>8518</v>
      </c>
      <c r="E147" s="22">
        <v>45292</v>
      </c>
      <c r="F147" s="21"/>
      <c r="G147" s="4">
        <v>0.71779999999999999</v>
      </c>
      <c r="H147" s="4">
        <f t="shared" si="15"/>
        <v>1.0613599999999996</v>
      </c>
      <c r="I147" s="4">
        <f t="shared" si="16"/>
        <v>0.99694249999999984</v>
      </c>
      <c r="J147" s="4">
        <f t="shared" si="17"/>
        <v>0.88957999999999982</v>
      </c>
      <c r="K147" s="4">
        <v>0.36559999999999998</v>
      </c>
      <c r="L147" s="4">
        <f t="shared" si="18"/>
        <v>0.63871999999999973</v>
      </c>
      <c r="M147" s="4">
        <f t="shared" si="19"/>
        <v>0.58750999999999975</v>
      </c>
      <c r="N147" s="4">
        <f t="shared" si="20"/>
        <v>0.50215999999999972</v>
      </c>
      <c r="O147" s="5">
        <v>0.2</v>
      </c>
      <c r="P147" s="6"/>
      <c r="Q147" s="6"/>
      <c r="R147" s="23" t="s">
        <v>195</v>
      </c>
      <c r="S147" s="24" t="s">
        <v>417</v>
      </c>
    </row>
    <row r="148" spans="1:19" x14ac:dyDescent="0.3">
      <c r="A148" s="19" t="str">
        <f t="shared" si="14"/>
        <v>01</v>
      </c>
      <c r="B148" s="20" t="s">
        <v>196</v>
      </c>
      <c r="C148" s="21" t="s">
        <v>197</v>
      </c>
      <c r="D148" s="21">
        <v>85185000</v>
      </c>
      <c r="E148" s="22">
        <v>43592</v>
      </c>
      <c r="F148" s="22">
        <v>45291</v>
      </c>
      <c r="G148" s="4">
        <v>0.71779999999999999</v>
      </c>
      <c r="H148" s="4">
        <f t="shared" si="15"/>
        <v>1.011082926829268</v>
      </c>
      <c r="I148" s="4">
        <f t="shared" si="16"/>
        <v>0.94823658536585342</v>
      </c>
      <c r="J148" s="4">
        <f t="shared" si="17"/>
        <v>0.843492682926829</v>
      </c>
      <c r="K148" s="4">
        <v>0.36559999999999998</v>
      </c>
      <c r="L148" s="4">
        <f t="shared" si="18"/>
        <v>0.5987512195121949</v>
      </c>
      <c r="M148" s="4">
        <f t="shared" si="19"/>
        <v>0.54879024390243858</v>
      </c>
      <c r="N148" s="4">
        <f t="shared" si="20"/>
        <v>0.4655219512195119</v>
      </c>
      <c r="O148" s="5">
        <v>0.18</v>
      </c>
      <c r="P148" s="6"/>
      <c r="Q148" s="6"/>
      <c r="R148" s="23" t="s">
        <v>198</v>
      </c>
      <c r="S148" s="24" t="s">
        <v>22</v>
      </c>
    </row>
    <row r="149" spans="1:19" x14ac:dyDescent="0.3">
      <c r="A149" s="19" t="str">
        <f t="shared" si="14"/>
        <v>01</v>
      </c>
      <c r="B149" s="20" t="s">
        <v>196</v>
      </c>
      <c r="C149" s="21" t="s">
        <v>197</v>
      </c>
      <c r="D149" s="21">
        <v>85185000</v>
      </c>
      <c r="E149" s="22">
        <v>45292</v>
      </c>
      <c r="F149" s="21"/>
      <c r="G149" s="4">
        <v>0.71779999999999999</v>
      </c>
      <c r="H149" s="4">
        <f t="shared" si="15"/>
        <v>1.0613599999999996</v>
      </c>
      <c r="I149" s="4">
        <f t="shared" si="16"/>
        <v>0.99694249999999984</v>
      </c>
      <c r="J149" s="4">
        <f t="shared" si="17"/>
        <v>0.88957999999999982</v>
      </c>
      <c r="K149" s="4">
        <v>0.36559999999999998</v>
      </c>
      <c r="L149" s="4">
        <f t="shared" si="18"/>
        <v>0.63871999999999973</v>
      </c>
      <c r="M149" s="4">
        <f t="shared" si="19"/>
        <v>0.58750999999999975</v>
      </c>
      <c r="N149" s="4">
        <f t="shared" si="20"/>
        <v>0.50215999999999972</v>
      </c>
      <c r="O149" s="5">
        <v>0.2</v>
      </c>
      <c r="P149" s="6"/>
      <c r="Q149" s="6"/>
      <c r="R149" s="23" t="s">
        <v>198</v>
      </c>
      <c r="S149" s="24" t="s">
        <v>417</v>
      </c>
    </row>
    <row r="150" spans="1:19" x14ac:dyDescent="0.3">
      <c r="A150" s="19" t="str">
        <f t="shared" si="14"/>
        <v>01</v>
      </c>
      <c r="B150" s="20" t="s">
        <v>199</v>
      </c>
      <c r="C150" s="21" t="s">
        <v>200</v>
      </c>
      <c r="D150" s="21">
        <v>851981</v>
      </c>
      <c r="E150" s="22">
        <v>43592</v>
      </c>
      <c r="F150" s="22">
        <v>45291</v>
      </c>
      <c r="G150" s="4">
        <v>0.71779999999999999</v>
      </c>
      <c r="H150" s="4">
        <f t="shared" si="15"/>
        <v>1.011082926829268</v>
      </c>
      <c r="I150" s="4">
        <f t="shared" si="16"/>
        <v>0.94823658536585342</v>
      </c>
      <c r="J150" s="4">
        <f t="shared" si="17"/>
        <v>0.843492682926829</v>
      </c>
      <c r="K150" s="4">
        <v>0.36559999999999998</v>
      </c>
      <c r="L150" s="4">
        <f t="shared" si="18"/>
        <v>0.5987512195121949</v>
      </c>
      <c r="M150" s="4">
        <f t="shared" si="19"/>
        <v>0.54879024390243858</v>
      </c>
      <c r="N150" s="4">
        <f t="shared" si="20"/>
        <v>0.4655219512195119</v>
      </c>
      <c r="O150" s="5">
        <v>0.18</v>
      </c>
      <c r="P150" s="6"/>
      <c r="Q150" s="6"/>
      <c r="R150" s="23" t="s">
        <v>201</v>
      </c>
      <c r="S150" s="24" t="s">
        <v>22</v>
      </c>
    </row>
    <row r="151" spans="1:19" x14ac:dyDescent="0.3">
      <c r="A151" s="19" t="str">
        <f t="shared" si="14"/>
        <v>01</v>
      </c>
      <c r="B151" s="20" t="s">
        <v>199</v>
      </c>
      <c r="C151" s="21" t="s">
        <v>200</v>
      </c>
      <c r="D151" s="21">
        <v>851981</v>
      </c>
      <c r="E151" s="22">
        <v>45292</v>
      </c>
      <c r="F151" s="21"/>
      <c r="G151" s="4">
        <v>0.71779999999999999</v>
      </c>
      <c r="H151" s="4">
        <f t="shared" si="15"/>
        <v>1.0613599999999996</v>
      </c>
      <c r="I151" s="4">
        <f t="shared" si="16"/>
        <v>0.99694249999999984</v>
      </c>
      <c r="J151" s="4">
        <f t="shared" si="17"/>
        <v>0.88957999999999982</v>
      </c>
      <c r="K151" s="4">
        <v>0.36559999999999998</v>
      </c>
      <c r="L151" s="4">
        <f t="shared" si="18"/>
        <v>0.63871999999999973</v>
      </c>
      <c r="M151" s="4">
        <f t="shared" si="19"/>
        <v>0.58750999999999975</v>
      </c>
      <c r="N151" s="4">
        <f t="shared" si="20"/>
        <v>0.50215999999999972</v>
      </c>
      <c r="O151" s="5">
        <v>0.2</v>
      </c>
      <c r="P151" s="6"/>
      <c r="Q151" s="6"/>
      <c r="R151" s="23" t="s">
        <v>201</v>
      </c>
      <c r="S151" s="24" t="s">
        <v>417</v>
      </c>
    </row>
    <row r="152" spans="1:19" x14ac:dyDescent="0.3">
      <c r="A152" s="19" t="str">
        <f t="shared" si="14"/>
        <v>01</v>
      </c>
      <c r="B152" s="20" t="s">
        <v>202</v>
      </c>
      <c r="C152" s="21" t="s">
        <v>203</v>
      </c>
      <c r="D152" s="21">
        <v>8525501</v>
      </c>
      <c r="E152" s="22">
        <v>43592</v>
      </c>
      <c r="F152" s="22">
        <v>45291</v>
      </c>
      <c r="G152" s="4">
        <v>0.71779999999999999</v>
      </c>
      <c r="H152" s="4">
        <f t="shared" si="15"/>
        <v>1.011082926829268</v>
      </c>
      <c r="I152" s="4">
        <f t="shared" si="16"/>
        <v>0.94823658536585342</v>
      </c>
      <c r="J152" s="4">
        <f t="shared" si="17"/>
        <v>0.843492682926829</v>
      </c>
      <c r="K152" s="4">
        <v>0.36559999999999998</v>
      </c>
      <c r="L152" s="4">
        <f t="shared" si="18"/>
        <v>0.5987512195121949</v>
      </c>
      <c r="M152" s="4">
        <f t="shared" si="19"/>
        <v>0.54879024390243858</v>
      </c>
      <c r="N152" s="4">
        <f t="shared" si="20"/>
        <v>0.4655219512195119</v>
      </c>
      <c r="O152" s="5">
        <v>0.18</v>
      </c>
      <c r="P152" s="6"/>
      <c r="Q152" s="6"/>
      <c r="R152" s="23" t="s">
        <v>204</v>
      </c>
      <c r="S152" s="24" t="s">
        <v>22</v>
      </c>
    </row>
    <row r="153" spans="1:19" x14ac:dyDescent="0.3">
      <c r="A153" s="19" t="str">
        <f t="shared" si="14"/>
        <v>01</v>
      </c>
      <c r="B153" s="20" t="s">
        <v>202</v>
      </c>
      <c r="C153" s="21" t="s">
        <v>203</v>
      </c>
      <c r="D153" s="21">
        <v>8525501</v>
      </c>
      <c r="E153" s="22">
        <v>45292</v>
      </c>
      <c r="F153" s="21"/>
      <c r="G153" s="4">
        <v>0.71779999999999999</v>
      </c>
      <c r="H153" s="4">
        <f t="shared" si="15"/>
        <v>1.0613599999999996</v>
      </c>
      <c r="I153" s="4">
        <f t="shared" si="16"/>
        <v>0.99694249999999984</v>
      </c>
      <c r="J153" s="4">
        <f t="shared" si="17"/>
        <v>0.88957999999999982</v>
      </c>
      <c r="K153" s="4">
        <v>0.36559999999999998</v>
      </c>
      <c r="L153" s="4">
        <f t="shared" si="18"/>
        <v>0.63871999999999973</v>
      </c>
      <c r="M153" s="4">
        <f t="shared" si="19"/>
        <v>0.58750999999999975</v>
      </c>
      <c r="N153" s="4">
        <f t="shared" si="20"/>
        <v>0.50215999999999972</v>
      </c>
      <c r="O153" s="5">
        <v>0.2</v>
      </c>
      <c r="P153" s="6"/>
      <c r="Q153" s="6"/>
      <c r="R153" s="23" t="s">
        <v>204</v>
      </c>
      <c r="S153" s="24" t="s">
        <v>417</v>
      </c>
    </row>
    <row r="154" spans="1:19" x14ac:dyDescent="0.3">
      <c r="A154" s="19" t="str">
        <f t="shared" si="14"/>
        <v>01</v>
      </c>
      <c r="B154" s="20" t="s">
        <v>202</v>
      </c>
      <c r="C154" s="21" t="s">
        <v>203</v>
      </c>
      <c r="D154" s="21">
        <v>85256010</v>
      </c>
      <c r="E154" s="22">
        <v>43592</v>
      </c>
      <c r="F154" s="22">
        <v>45291</v>
      </c>
      <c r="G154" s="4">
        <v>0.71779999999999999</v>
      </c>
      <c r="H154" s="4">
        <f t="shared" si="15"/>
        <v>1.011082926829268</v>
      </c>
      <c r="I154" s="4">
        <f t="shared" si="16"/>
        <v>0.94823658536585342</v>
      </c>
      <c r="J154" s="4">
        <f t="shared" si="17"/>
        <v>0.843492682926829</v>
      </c>
      <c r="K154" s="4">
        <v>0.36559999999999998</v>
      </c>
      <c r="L154" s="4">
        <f t="shared" si="18"/>
        <v>0.5987512195121949</v>
      </c>
      <c r="M154" s="4">
        <f t="shared" si="19"/>
        <v>0.54879024390243858</v>
      </c>
      <c r="N154" s="4">
        <f t="shared" si="20"/>
        <v>0.4655219512195119</v>
      </c>
      <c r="O154" s="5">
        <v>0.18</v>
      </c>
      <c r="P154" s="6"/>
      <c r="Q154" s="6"/>
      <c r="R154" s="23" t="s">
        <v>204</v>
      </c>
      <c r="S154" s="24" t="s">
        <v>22</v>
      </c>
    </row>
    <row r="155" spans="1:19" x14ac:dyDescent="0.3">
      <c r="A155" s="19" t="str">
        <f t="shared" si="14"/>
        <v>01</v>
      </c>
      <c r="B155" s="20" t="s">
        <v>202</v>
      </c>
      <c r="C155" s="21" t="s">
        <v>203</v>
      </c>
      <c r="D155" s="21">
        <v>85256010</v>
      </c>
      <c r="E155" s="22">
        <v>45292</v>
      </c>
      <c r="F155" s="21"/>
      <c r="G155" s="4">
        <v>0.71779999999999999</v>
      </c>
      <c r="H155" s="4">
        <f t="shared" si="15"/>
        <v>1.0613599999999996</v>
      </c>
      <c r="I155" s="4">
        <f t="shared" si="16"/>
        <v>0.99694249999999984</v>
      </c>
      <c r="J155" s="4">
        <f t="shared" si="17"/>
        <v>0.88957999999999982</v>
      </c>
      <c r="K155" s="4">
        <v>0.36559999999999998</v>
      </c>
      <c r="L155" s="4">
        <f t="shared" si="18"/>
        <v>0.63871999999999973</v>
      </c>
      <c r="M155" s="4">
        <f t="shared" si="19"/>
        <v>0.58750999999999975</v>
      </c>
      <c r="N155" s="4">
        <f t="shared" si="20"/>
        <v>0.50215999999999972</v>
      </c>
      <c r="O155" s="5">
        <v>0.2</v>
      </c>
      <c r="P155" s="6"/>
      <c r="Q155" s="6"/>
      <c r="R155" s="23" t="s">
        <v>204</v>
      </c>
      <c r="S155" s="24" t="s">
        <v>417</v>
      </c>
    </row>
    <row r="156" spans="1:19" x14ac:dyDescent="0.3">
      <c r="A156" s="19" t="str">
        <f t="shared" si="14"/>
        <v>01</v>
      </c>
      <c r="B156" s="20" t="s">
        <v>205</v>
      </c>
      <c r="C156" s="21" t="s">
        <v>206</v>
      </c>
      <c r="D156" s="21">
        <v>85272100</v>
      </c>
      <c r="E156" s="22">
        <v>43592</v>
      </c>
      <c r="F156" s="22">
        <v>45291</v>
      </c>
      <c r="G156" s="4">
        <v>0.71779999999999999</v>
      </c>
      <c r="H156" s="4">
        <f t="shared" si="15"/>
        <v>1.011082926829268</v>
      </c>
      <c r="I156" s="4">
        <f t="shared" si="16"/>
        <v>0.94823658536585342</v>
      </c>
      <c r="J156" s="4">
        <f t="shared" si="17"/>
        <v>0.843492682926829</v>
      </c>
      <c r="K156" s="4">
        <v>0.36559999999999998</v>
      </c>
      <c r="L156" s="4">
        <f t="shared" si="18"/>
        <v>0.5987512195121949</v>
      </c>
      <c r="M156" s="4">
        <f t="shared" si="19"/>
        <v>0.54879024390243858</v>
      </c>
      <c r="N156" s="4">
        <f t="shared" si="20"/>
        <v>0.4655219512195119</v>
      </c>
      <c r="O156" s="5">
        <v>0.18</v>
      </c>
      <c r="P156" s="6"/>
      <c r="Q156" s="6"/>
      <c r="R156" s="23" t="s">
        <v>207</v>
      </c>
      <c r="S156" s="24" t="s">
        <v>22</v>
      </c>
    </row>
    <row r="157" spans="1:19" x14ac:dyDescent="0.3">
      <c r="A157" s="19" t="str">
        <f t="shared" si="14"/>
        <v>01</v>
      </c>
      <c r="B157" s="20" t="s">
        <v>205</v>
      </c>
      <c r="C157" s="21" t="s">
        <v>206</v>
      </c>
      <c r="D157" s="21">
        <v>85272100</v>
      </c>
      <c r="E157" s="22">
        <v>45292</v>
      </c>
      <c r="F157" s="21"/>
      <c r="G157" s="4">
        <v>0.71779999999999999</v>
      </c>
      <c r="H157" s="4">
        <f t="shared" si="15"/>
        <v>1.0613599999999996</v>
      </c>
      <c r="I157" s="4">
        <f t="shared" si="16"/>
        <v>0.99694249999999984</v>
      </c>
      <c r="J157" s="4">
        <f t="shared" si="17"/>
        <v>0.88957999999999982</v>
      </c>
      <c r="K157" s="4">
        <v>0.36559999999999998</v>
      </c>
      <c r="L157" s="4">
        <f t="shared" si="18"/>
        <v>0.63871999999999973</v>
      </c>
      <c r="M157" s="4">
        <f t="shared" si="19"/>
        <v>0.58750999999999975</v>
      </c>
      <c r="N157" s="4">
        <f t="shared" si="20"/>
        <v>0.50215999999999972</v>
      </c>
      <c r="O157" s="5">
        <v>0.2</v>
      </c>
      <c r="P157" s="6"/>
      <c r="Q157" s="6"/>
      <c r="R157" s="23" t="s">
        <v>207</v>
      </c>
      <c r="S157" s="24" t="s">
        <v>417</v>
      </c>
    </row>
    <row r="158" spans="1:19" x14ac:dyDescent="0.3">
      <c r="A158" s="19" t="str">
        <f t="shared" si="14"/>
        <v>01</v>
      </c>
      <c r="B158" s="20" t="s">
        <v>208</v>
      </c>
      <c r="C158" s="21" t="s">
        <v>209</v>
      </c>
      <c r="D158" s="21">
        <v>85272900</v>
      </c>
      <c r="E158" s="22">
        <v>43592</v>
      </c>
      <c r="F158" s="22">
        <v>45291</v>
      </c>
      <c r="G158" s="4">
        <v>0.71779999999999999</v>
      </c>
      <c r="H158" s="4">
        <f t="shared" si="15"/>
        <v>1.011082926829268</v>
      </c>
      <c r="I158" s="4">
        <f t="shared" si="16"/>
        <v>0.94823658536585342</v>
      </c>
      <c r="J158" s="4">
        <f t="shared" si="17"/>
        <v>0.843492682926829</v>
      </c>
      <c r="K158" s="4">
        <v>0.36559999999999998</v>
      </c>
      <c r="L158" s="4">
        <f t="shared" si="18"/>
        <v>0.5987512195121949</v>
      </c>
      <c r="M158" s="4">
        <f t="shared" si="19"/>
        <v>0.54879024390243858</v>
      </c>
      <c r="N158" s="4">
        <f t="shared" si="20"/>
        <v>0.4655219512195119</v>
      </c>
      <c r="O158" s="5">
        <v>0.18</v>
      </c>
      <c r="P158" s="6"/>
      <c r="Q158" s="6"/>
      <c r="R158" s="23" t="s">
        <v>210</v>
      </c>
      <c r="S158" s="24" t="s">
        <v>22</v>
      </c>
    </row>
    <row r="159" spans="1:19" x14ac:dyDescent="0.3">
      <c r="A159" s="19" t="str">
        <f t="shared" si="14"/>
        <v>01</v>
      </c>
      <c r="B159" s="20" t="s">
        <v>208</v>
      </c>
      <c r="C159" s="21" t="s">
        <v>209</v>
      </c>
      <c r="D159" s="21">
        <v>85272900</v>
      </c>
      <c r="E159" s="22">
        <v>45292</v>
      </c>
      <c r="F159" s="21"/>
      <c r="G159" s="4">
        <v>0.71779999999999999</v>
      </c>
      <c r="H159" s="4">
        <f t="shared" si="15"/>
        <v>1.0613599999999996</v>
      </c>
      <c r="I159" s="4">
        <f t="shared" si="16"/>
        <v>0.99694249999999984</v>
      </c>
      <c r="J159" s="4">
        <f t="shared" si="17"/>
        <v>0.88957999999999982</v>
      </c>
      <c r="K159" s="4">
        <v>0.36559999999999998</v>
      </c>
      <c r="L159" s="4">
        <f t="shared" si="18"/>
        <v>0.63871999999999973</v>
      </c>
      <c r="M159" s="4">
        <f t="shared" si="19"/>
        <v>0.58750999999999975</v>
      </c>
      <c r="N159" s="4">
        <f t="shared" si="20"/>
        <v>0.50215999999999972</v>
      </c>
      <c r="O159" s="5">
        <v>0.2</v>
      </c>
      <c r="P159" s="6"/>
      <c r="Q159" s="6"/>
      <c r="R159" s="23" t="s">
        <v>210</v>
      </c>
      <c r="S159" s="24" t="s">
        <v>417</v>
      </c>
    </row>
    <row r="160" spans="1:19" x14ac:dyDescent="0.3">
      <c r="A160" s="19" t="str">
        <f t="shared" si="14"/>
        <v>01</v>
      </c>
      <c r="B160" s="20" t="s">
        <v>211</v>
      </c>
      <c r="C160" s="21" t="s">
        <v>212</v>
      </c>
      <c r="D160" s="21">
        <v>85219090</v>
      </c>
      <c r="E160" s="22">
        <v>43592</v>
      </c>
      <c r="F160" s="22">
        <v>45291</v>
      </c>
      <c r="G160" s="4">
        <v>0.71779999999999999</v>
      </c>
      <c r="H160" s="4">
        <f t="shared" si="15"/>
        <v>1.011082926829268</v>
      </c>
      <c r="I160" s="4">
        <f t="shared" si="16"/>
        <v>0.94823658536585342</v>
      </c>
      <c r="J160" s="4">
        <f t="shared" si="17"/>
        <v>0.843492682926829</v>
      </c>
      <c r="K160" s="4">
        <v>0.36559999999999998</v>
      </c>
      <c r="L160" s="4">
        <f t="shared" si="18"/>
        <v>0.5987512195121949</v>
      </c>
      <c r="M160" s="4">
        <f t="shared" si="19"/>
        <v>0.54879024390243858</v>
      </c>
      <c r="N160" s="4">
        <f t="shared" si="20"/>
        <v>0.4655219512195119</v>
      </c>
      <c r="O160" s="5">
        <v>0.18</v>
      </c>
      <c r="P160" s="6"/>
      <c r="Q160" s="6"/>
      <c r="R160" s="23" t="s">
        <v>213</v>
      </c>
      <c r="S160" s="24" t="s">
        <v>22</v>
      </c>
    </row>
    <row r="161" spans="1:19" x14ac:dyDescent="0.3">
      <c r="A161" s="19" t="str">
        <f t="shared" si="14"/>
        <v>01</v>
      </c>
      <c r="B161" s="20" t="s">
        <v>211</v>
      </c>
      <c r="C161" s="21" t="s">
        <v>212</v>
      </c>
      <c r="D161" s="21">
        <v>85219090</v>
      </c>
      <c r="E161" s="22">
        <v>45292</v>
      </c>
      <c r="F161" s="21"/>
      <c r="G161" s="4">
        <v>0.71779999999999999</v>
      </c>
      <c r="H161" s="4">
        <f t="shared" si="15"/>
        <v>1.0613599999999996</v>
      </c>
      <c r="I161" s="4">
        <f t="shared" si="16"/>
        <v>0.99694249999999984</v>
      </c>
      <c r="J161" s="4">
        <f t="shared" si="17"/>
        <v>0.88957999999999982</v>
      </c>
      <c r="K161" s="4">
        <v>0.36559999999999998</v>
      </c>
      <c r="L161" s="4">
        <f t="shared" si="18"/>
        <v>0.63871999999999973</v>
      </c>
      <c r="M161" s="4">
        <f t="shared" si="19"/>
        <v>0.58750999999999975</v>
      </c>
      <c r="N161" s="4">
        <f t="shared" si="20"/>
        <v>0.50215999999999972</v>
      </c>
      <c r="O161" s="5">
        <v>0.2</v>
      </c>
      <c r="P161" s="6"/>
      <c r="Q161" s="6"/>
      <c r="R161" s="23" t="s">
        <v>213</v>
      </c>
      <c r="S161" s="24" t="s">
        <v>417</v>
      </c>
    </row>
    <row r="162" spans="1:19" x14ac:dyDescent="0.3">
      <c r="A162" s="26" t="str">
        <f t="shared" si="14"/>
        <v>01</v>
      </c>
      <c r="B162" s="27" t="s">
        <v>214</v>
      </c>
      <c r="C162" s="28" t="s">
        <v>215</v>
      </c>
      <c r="D162" s="28">
        <v>852910</v>
      </c>
      <c r="E162" s="29">
        <v>44683</v>
      </c>
      <c r="F162" s="22">
        <v>45291</v>
      </c>
      <c r="G162" s="13">
        <v>0.71779999999999999</v>
      </c>
      <c r="H162" s="13">
        <f t="shared" si="15"/>
        <v>1.011082926829268</v>
      </c>
      <c r="I162" s="13">
        <f t="shared" si="16"/>
        <v>0.94823658536585342</v>
      </c>
      <c r="J162" s="13">
        <f t="shared" si="17"/>
        <v>0.843492682926829</v>
      </c>
      <c r="K162" s="13">
        <v>0.36559999999999998</v>
      </c>
      <c r="L162" s="13">
        <f t="shared" si="18"/>
        <v>0.5987512195121949</v>
      </c>
      <c r="M162" s="13">
        <f t="shared" si="19"/>
        <v>0.54879024390243858</v>
      </c>
      <c r="N162" s="13">
        <f t="shared" si="20"/>
        <v>0.4655219512195119</v>
      </c>
      <c r="O162" s="14">
        <v>0.18</v>
      </c>
      <c r="P162" s="15"/>
      <c r="Q162" s="15"/>
      <c r="R162" s="30" t="s">
        <v>216</v>
      </c>
      <c r="S162" s="31" t="s">
        <v>416</v>
      </c>
    </row>
    <row r="163" spans="1:19" x14ac:dyDescent="0.3">
      <c r="A163" s="26" t="str">
        <f t="shared" si="14"/>
        <v>01</v>
      </c>
      <c r="B163" s="27" t="s">
        <v>214</v>
      </c>
      <c r="C163" s="28" t="s">
        <v>215</v>
      </c>
      <c r="D163" s="28">
        <v>852910</v>
      </c>
      <c r="E163" s="22">
        <v>45292</v>
      </c>
      <c r="F163" s="28"/>
      <c r="G163" s="13">
        <v>0.71779999999999999</v>
      </c>
      <c r="H163" s="13">
        <f t="shared" si="15"/>
        <v>1.0613599999999996</v>
      </c>
      <c r="I163" s="13">
        <f t="shared" si="16"/>
        <v>0.99694249999999984</v>
      </c>
      <c r="J163" s="13">
        <f t="shared" si="17"/>
        <v>0.88957999999999982</v>
      </c>
      <c r="K163" s="13">
        <v>0.36559999999999998</v>
      </c>
      <c r="L163" s="13">
        <f t="shared" si="18"/>
        <v>0.63871999999999973</v>
      </c>
      <c r="M163" s="13">
        <f t="shared" si="19"/>
        <v>0.58750999999999975</v>
      </c>
      <c r="N163" s="13">
        <f t="shared" si="20"/>
        <v>0.50215999999999972</v>
      </c>
      <c r="O163" s="5">
        <v>0.2</v>
      </c>
      <c r="P163" s="15"/>
      <c r="Q163" s="15"/>
      <c r="R163" s="30" t="s">
        <v>216</v>
      </c>
      <c r="S163" s="24" t="s">
        <v>417</v>
      </c>
    </row>
    <row r="164" spans="1:19" x14ac:dyDescent="0.3">
      <c r="A164" s="26" t="str">
        <f t="shared" si="14"/>
        <v>01</v>
      </c>
      <c r="B164" s="27" t="s">
        <v>214</v>
      </c>
      <c r="C164" s="28" t="s">
        <v>215</v>
      </c>
      <c r="D164" s="28">
        <v>85291090</v>
      </c>
      <c r="E164" s="29">
        <v>43592</v>
      </c>
      <c r="F164" s="29">
        <v>44682</v>
      </c>
      <c r="G164" s="13">
        <v>0.71779999999999999</v>
      </c>
      <c r="H164" s="13">
        <f t="shared" si="15"/>
        <v>1.011082926829268</v>
      </c>
      <c r="I164" s="13">
        <f t="shared" si="16"/>
        <v>0.94823658536585342</v>
      </c>
      <c r="J164" s="13">
        <f t="shared" si="17"/>
        <v>0.843492682926829</v>
      </c>
      <c r="K164" s="13">
        <v>0.36559999999999998</v>
      </c>
      <c r="L164" s="13">
        <f t="shared" si="18"/>
        <v>0.5987512195121949</v>
      </c>
      <c r="M164" s="13">
        <f t="shared" si="19"/>
        <v>0.54879024390243858</v>
      </c>
      <c r="N164" s="13">
        <f t="shared" si="20"/>
        <v>0.4655219512195119</v>
      </c>
      <c r="O164" s="14">
        <v>0.18</v>
      </c>
      <c r="P164" s="15"/>
      <c r="Q164" s="15"/>
      <c r="R164" s="30" t="s">
        <v>216</v>
      </c>
      <c r="S164" s="31" t="s">
        <v>415</v>
      </c>
    </row>
    <row r="165" spans="1:19" x14ac:dyDescent="0.3">
      <c r="A165" s="19" t="str">
        <f t="shared" si="14"/>
        <v>01</v>
      </c>
      <c r="B165" s="20" t="s">
        <v>217</v>
      </c>
      <c r="C165" s="21" t="s">
        <v>218</v>
      </c>
      <c r="D165" s="21">
        <v>853400</v>
      </c>
      <c r="E165" s="22">
        <v>43592</v>
      </c>
      <c r="F165" s="22">
        <v>45291</v>
      </c>
      <c r="G165" s="4">
        <v>0.71779999999999999</v>
      </c>
      <c r="H165" s="4">
        <f t="shared" si="15"/>
        <v>1.011082926829268</v>
      </c>
      <c r="I165" s="4">
        <f t="shared" si="16"/>
        <v>0.94823658536585342</v>
      </c>
      <c r="J165" s="4">
        <f t="shared" si="17"/>
        <v>0.843492682926829</v>
      </c>
      <c r="K165" s="4">
        <v>0.36559999999999998</v>
      </c>
      <c r="L165" s="4">
        <f t="shared" si="18"/>
        <v>0.5987512195121949</v>
      </c>
      <c r="M165" s="4">
        <f t="shared" si="19"/>
        <v>0.54879024390243858</v>
      </c>
      <c r="N165" s="4">
        <f t="shared" si="20"/>
        <v>0.4655219512195119</v>
      </c>
      <c r="O165" s="5">
        <v>0.18</v>
      </c>
      <c r="P165" s="6"/>
      <c r="Q165" s="6"/>
      <c r="R165" s="23" t="s">
        <v>219</v>
      </c>
      <c r="S165" s="24" t="s">
        <v>22</v>
      </c>
    </row>
    <row r="166" spans="1:19" x14ac:dyDescent="0.3">
      <c r="A166" s="19" t="str">
        <f t="shared" si="14"/>
        <v>01</v>
      </c>
      <c r="B166" s="20" t="s">
        <v>217</v>
      </c>
      <c r="C166" s="21" t="s">
        <v>218</v>
      </c>
      <c r="D166" s="21">
        <v>853400</v>
      </c>
      <c r="E166" s="22">
        <v>45292</v>
      </c>
      <c r="F166" s="21"/>
      <c r="G166" s="4">
        <v>0.71779999999999999</v>
      </c>
      <c r="H166" s="4">
        <f t="shared" si="15"/>
        <v>1.0613599999999996</v>
      </c>
      <c r="I166" s="4">
        <f t="shared" si="16"/>
        <v>0.99694249999999984</v>
      </c>
      <c r="J166" s="4">
        <f t="shared" si="17"/>
        <v>0.88957999999999982</v>
      </c>
      <c r="K166" s="4">
        <v>0.36559999999999998</v>
      </c>
      <c r="L166" s="4">
        <f t="shared" si="18"/>
        <v>0.63871999999999973</v>
      </c>
      <c r="M166" s="4">
        <f t="shared" si="19"/>
        <v>0.58750999999999975</v>
      </c>
      <c r="N166" s="4">
        <f t="shared" si="20"/>
        <v>0.50215999999999972</v>
      </c>
      <c r="O166" s="5">
        <v>0.2</v>
      </c>
      <c r="P166" s="6"/>
      <c r="Q166" s="6"/>
      <c r="R166" s="23" t="s">
        <v>219</v>
      </c>
      <c r="S166" s="24" t="s">
        <v>417</v>
      </c>
    </row>
    <row r="167" spans="1:19" x14ac:dyDescent="0.3">
      <c r="A167" s="19" t="str">
        <f t="shared" si="14"/>
        <v>01</v>
      </c>
      <c r="B167" s="20" t="s">
        <v>220</v>
      </c>
      <c r="C167" s="21" t="s">
        <v>221</v>
      </c>
      <c r="D167" s="21">
        <v>853530</v>
      </c>
      <c r="E167" s="22">
        <v>43592</v>
      </c>
      <c r="F167" s="22">
        <v>45291</v>
      </c>
      <c r="G167" s="4">
        <v>0.71779999999999999</v>
      </c>
      <c r="H167" s="4">
        <f t="shared" si="15"/>
        <v>1.011082926829268</v>
      </c>
      <c r="I167" s="4">
        <f t="shared" si="16"/>
        <v>0.94823658536585342</v>
      </c>
      <c r="J167" s="4">
        <f t="shared" si="17"/>
        <v>0.843492682926829</v>
      </c>
      <c r="K167" s="4">
        <v>0.36559999999999998</v>
      </c>
      <c r="L167" s="4">
        <f t="shared" si="18"/>
        <v>0.5987512195121949</v>
      </c>
      <c r="M167" s="4">
        <f t="shared" si="19"/>
        <v>0.54879024390243858</v>
      </c>
      <c r="N167" s="4">
        <f t="shared" si="20"/>
        <v>0.4655219512195119</v>
      </c>
      <c r="O167" s="5">
        <v>0.18</v>
      </c>
      <c r="P167" s="6"/>
      <c r="Q167" s="6"/>
      <c r="R167" s="23" t="s">
        <v>222</v>
      </c>
      <c r="S167" s="24" t="s">
        <v>22</v>
      </c>
    </row>
    <row r="168" spans="1:19" x14ac:dyDescent="0.3">
      <c r="A168" s="19" t="str">
        <f t="shared" si="14"/>
        <v>01</v>
      </c>
      <c r="B168" s="20" t="s">
        <v>220</v>
      </c>
      <c r="C168" s="21" t="s">
        <v>221</v>
      </c>
      <c r="D168" s="21">
        <v>853530</v>
      </c>
      <c r="E168" s="22">
        <v>45292</v>
      </c>
      <c r="F168" s="21"/>
      <c r="G168" s="4">
        <v>0.71779999999999999</v>
      </c>
      <c r="H168" s="4">
        <f t="shared" si="15"/>
        <v>1.0613599999999996</v>
      </c>
      <c r="I168" s="4">
        <f t="shared" si="16"/>
        <v>0.99694249999999984</v>
      </c>
      <c r="J168" s="4">
        <f t="shared" si="17"/>
        <v>0.88957999999999982</v>
      </c>
      <c r="K168" s="4">
        <v>0.36559999999999998</v>
      </c>
      <c r="L168" s="4">
        <f t="shared" si="18"/>
        <v>0.63871999999999973</v>
      </c>
      <c r="M168" s="4">
        <f t="shared" si="19"/>
        <v>0.58750999999999975</v>
      </c>
      <c r="N168" s="4">
        <f t="shared" si="20"/>
        <v>0.50215999999999972</v>
      </c>
      <c r="O168" s="5">
        <v>0.2</v>
      </c>
      <c r="P168" s="6"/>
      <c r="Q168" s="6"/>
      <c r="R168" s="23" t="s">
        <v>222</v>
      </c>
      <c r="S168" s="24" t="s">
        <v>417</v>
      </c>
    </row>
    <row r="169" spans="1:19" x14ac:dyDescent="0.3">
      <c r="A169" s="19" t="str">
        <f t="shared" si="14"/>
        <v>01</v>
      </c>
      <c r="B169" s="20" t="s">
        <v>220</v>
      </c>
      <c r="C169" s="21" t="s">
        <v>221</v>
      </c>
      <c r="D169" s="21">
        <v>853650</v>
      </c>
      <c r="E169" s="22">
        <v>43592</v>
      </c>
      <c r="F169" s="22">
        <v>45291</v>
      </c>
      <c r="G169" s="4">
        <v>0.71779999999999999</v>
      </c>
      <c r="H169" s="4">
        <f t="shared" si="15"/>
        <v>1.011082926829268</v>
      </c>
      <c r="I169" s="4">
        <f t="shared" si="16"/>
        <v>0.94823658536585342</v>
      </c>
      <c r="J169" s="4">
        <f t="shared" si="17"/>
        <v>0.843492682926829</v>
      </c>
      <c r="K169" s="4">
        <v>0.36559999999999998</v>
      </c>
      <c r="L169" s="4">
        <f t="shared" si="18"/>
        <v>0.5987512195121949</v>
      </c>
      <c r="M169" s="4">
        <f t="shared" si="19"/>
        <v>0.54879024390243858</v>
      </c>
      <c r="N169" s="4">
        <f t="shared" si="20"/>
        <v>0.4655219512195119</v>
      </c>
      <c r="O169" s="5">
        <v>0.18</v>
      </c>
      <c r="P169" s="6"/>
      <c r="Q169" s="6"/>
      <c r="R169" s="23" t="s">
        <v>222</v>
      </c>
      <c r="S169" s="24" t="s">
        <v>22</v>
      </c>
    </row>
    <row r="170" spans="1:19" x14ac:dyDescent="0.3">
      <c r="A170" s="19" t="str">
        <f t="shared" si="14"/>
        <v>01</v>
      </c>
      <c r="B170" s="20" t="s">
        <v>220</v>
      </c>
      <c r="C170" s="21" t="s">
        <v>221</v>
      </c>
      <c r="D170" s="21">
        <v>853650</v>
      </c>
      <c r="E170" s="22">
        <v>45292</v>
      </c>
      <c r="F170" s="21"/>
      <c r="G170" s="4">
        <v>0.71779999999999999</v>
      </c>
      <c r="H170" s="4">
        <f t="shared" si="15"/>
        <v>1.0613599999999996</v>
      </c>
      <c r="I170" s="4">
        <f t="shared" si="16"/>
        <v>0.99694249999999984</v>
      </c>
      <c r="J170" s="4">
        <f t="shared" si="17"/>
        <v>0.88957999999999982</v>
      </c>
      <c r="K170" s="4">
        <v>0.36559999999999998</v>
      </c>
      <c r="L170" s="4">
        <f t="shared" si="18"/>
        <v>0.63871999999999973</v>
      </c>
      <c r="M170" s="4">
        <f t="shared" si="19"/>
        <v>0.58750999999999975</v>
      </c>
      <c r="N170" s="4">
        <f t="shared" si="20"/>
        <v>0.50215999999999972</v>
      </c>
      <c r="O170" s="5">
        <v>0.2</v>
      </c>
      <c r="P170" s="6"/>
      <c r="Q170" s="6"/>
      <c r="R170" s="23" t="s">
        <v>222</v>
      </c>
      <c r="S170" s="24" t="s">
        <v>417</v>
      </c>
    </row>
    <row r="171" spans="1:19" x14ac:dyDescent="0.3">
      <c r="A171" s="19" t="str">
        <f t="shared" si="14"/>
        <v>01</v>
      </c>
      <c r="B171" s="20" t="s">
        <v>223</v>
      </c>
      <c r="C171" s="21" t="s">
        <v>224</v>
      </c>
      <c r="D171" s="21">
        <v>85361000</v>
      </c>
      <c r="E171" s="22">
        <v>43592</v>
      </c>
      <c r="F171" s="22">
        <v>45291</v>
      </c>
      <c r="G171" s="4">
        <v>0.71779999999999999</v>
      </c>
      <c r="H171" s="4">
        <f t="shared" si="15"/>
        <v>1.011082926829268</v>
      </c>
      <c r="I171" s="4">
        <f t="shared" si="16"/>
        <v>0.94823658536585342</v>
      </c>
      <c r="J171" s="4">
        <f t="shared" si="17"/>
        <v>0.843492682926829</v>
      </c>
      <c r="K171" s="4">
        <v>0.36559999999999998</v>
      </c>
      <c r="L171" s="4">
        <f t="shared" si="18"/>
        <v>0.5987512195121949</v>
      </c>
      <c r="M171" s="4">
        <f t="shared" si="19"/>
        <v>0.54879024390243858</v>
      </c>
      <c r="N171" s="4">
        <f t="shared" si="20"/>
        <v>0.4655219512195119</v>
      </c>
      <c r="O171" s="5">
        <v>0.18</v>
      </c>
      <c r="P171" s="6"/>
      <c r="Q171" s="6"/>
      <c r="R171" s="23" t="s">
        <v>225</v>
      </c>
      <c r="S171" s="24" t="s">
        <v>22</v>
      </c>
    </row>
    <row r="172" spans="1:19" x14ac:dyDescent="0.3">
      <c r="A172" s="19" t="str">
        <f t="shared" si="14"/>
        <v>01</v>
      </c>
      <c r="B172" s="20" t="s">
        <v>223</v>
      </c>
      <c r="C172" s="21" t="s">
        <v>224</v>
      </c>
      <c r="D172" s="21">
        <v>85361000</v>
      </c>
      <c r="E172" s="22">
        <v>45292</v>
      </c>
      <c r="F172" s="21"/>
      <c r="G172" s="4">
        <v>0.71779999999999999</v>
      </c>
      <c r="H172" s="4">
        <f t="shared" si="15"/>
        <v>1.0613599999999996</v>
      </c>
      <c r="I172" s="4">
        <f t="shared" si="16"/>
        <v>0.99694249999999984</v>
      </c>
      <c r="J172" s="4">
        <f t="shared" si="17"/>
        <v>0.88957999999999982</v>
      </c>
      <c r="K172" s="4">
        <v>0.36559999999999998</v>
      </c>
      <c r="L172" s="4">
        <f t="shared" si="18"/>
        <v>0.63871999999999973</v>
      </c>
      <c r="M172" s="4">
        <f t="shared" si="19"/>
        <v>0.58750999999999975</v>
      </c>
      <c r="N172" s="4">
        <f t="shared" si="20"/>
        <v>0.50215999999999972</v>
      </c>
      <c r="O172" s="5">
        <v>0.2</v>
      </c>
      <c r="P172" s="6"/>
      <c r="Q172" s="6"/>
      <c r="R172" s="23" t="s">
        <v>225</v>
      </c>
      <c r="S172" s="24" t="s">
        <v>417</v>
      </c>
    </row>
    <row r="173" spans="1:19" x14ac:dyDescent="0.3">
      <c r="A173" s="19" t="str">
        <f t="shared" si="14"/>
        <v>01</v>
      </c>
      <c r="B173" s="20" t="s">
        <v>226</v>
      </c>
      <c r="C173" s="21" t="s">
        <v>227</v>
      </c>
      <c r="D173" s="21">
        <v>85362000</v>
      </c>
      <c r="E173" s="22">
        <v>43592</v>
      </c>
      <c r="F173" s="22">
        <v>45291</v>
      </c>
      <c r="G173" s="4">
        <v>0.71779999999999999</v>
      </c>
      <c r="H173" s="4">
        <f t="shared" si="15"/>
        <v>1.011082926829268</v>
      </c>
      <c r="I173" s="4">
        <f t="shared" si="16"/>
        <v>0.94823658536585342</v>
      </c>
      <c r="J173" s="4">
        <f t="shared" si="17"/>
        <v>0.843492682926829</v>
      </c>
      <c r="K173" s="4">
        <v>0.36559999999999998</v>
      </c>
      <c r="L173" s="4">
        <f t="shared" si="18"/>
        <v>0.5987512195121949</v>
      </c>
      <c r="M173" s="4">
        <f t="shared" si="19"/>
        <v>0.54879024390243858</v>
      </c>
      <c r="N173" s="4">
        <f t="shared" si="20"/>
        <v>0.4655219512195119</v>
      </c>
      <c r="O173" s="5">
        <v>0.18</v>
      </c>
      <c r="P173" s="6"/>
      <c r="Q173" s="6"/>
      <c r="R173" s="23" t="s">
        <v>228</v>
      </c>
      <c r="S173" s="24" t="s">
        <v>22</v>
      </c>
    </row>
    <row r="174" spans="1:19" x14ac:dyDescent="0.3">
      <c r="A174" s="19" t="str">
        <f t="shared" si="14"/>
        <v>01</v>
      </c>
      <c r="B174" s="20" t="s">
        <v>226</v>
      </c>
      <c r="C174" s="21" t="s">
        <v>227</v>
      </c>
      <c r="D174" s="21">
        <v>85362000</v>
      </c>
      <c r="E174" s="22">
        <v>45292</v>
      </c>
      <c r="F174" s="21"/>
      <c r="G174" s="4">
        <v>0.71779999999999999</v>
      </c>
      <c r="H174" s="4">
        <f t="shared" si="15"/>
        <v>1.0613599999999996</v>
      </c>
      <c r="I174" s="4">
        <f t="shared" si="16"/>
        <v>0.99694249999999984</v>
      </c>
      <c r="J174" s="4">
        <f t="shared" si="17"/>
        <v>0.88957999999999982</v>
      </c>
      <c r="K174" s="4">
        <v>0.36559999999999998</v>
      </c>
      <c r="L174" s="4">
        <f t="shared" si="18"/>
        <v>0.63871999999999973</v>
      </c>
      <c r="M174" s="4">
        <f t="shared" si="19"/>
        <v>0.58750999999999975</v>
      </c>
      <c r="N174" s="4">
        <f t="shared" si="20"/>
        <v>0.50215999999999972</v>
      </c>
      <c r="O174" s="5">
        <v>0.2</v>
      </c>
      <c r="P174" s="6"/>
      <c r="Q174" s="6"/>
      <c r="R174" s="23" t="s">
        <v>228</v>
      </c>
      <c r="S174" s="24" t="s">
        <v>417</v>
      </c>
    </row>
    <row r="175" spans="1:19" x14ac:dyDescent="0.3">
      <c r="A175" s="19" t="str">
        <f t="shared" si="14"/>
        <v>01</v>
      </c>
      <c r="B175" s="20" t="s">
        <v>229</v>
      </c>
      <c r="C175" s="21" t="s">
        <v>230</v>
      </c>
      <c r="D175" s="21">
        <v>85364</v>
      </c>
      <c r="E175" s="22">
        <v>43592</v>
      </c>
      <c r="F175" s="22">
        <v>45291</v>
      </c>
      <c r="G175" s="4">
        <v>0.71779999999999999</v>
      </c>
      <c r="H175" s="4">
        <f t="shared" si="15"/>
        <v>1.011082926829268</v>
      </c>
      <c r="I175" s="4">
        <f t="shared" si="16"/>
        <v>0.94823658536585342</v>
      </c>
      <c r="J175" s="4">
        <f t="shared" si="17"/>
        <v>0.843492682926829</v>
      </c>
      <c r="K175" s="4">
        <v>0.36559999999999998</v>
      </c>
      <c r="L175" s="4">
        <f t="shared" si="18"/>
        <v>0.5987512195121949</v>
      </c>
      <c r="M175" s="4">
        <f t="shared" si="19"/>
        <v>0.54879024390243858</v>
      </c>
      <c r="N175" s="4">
        <f t="shared" si="20"/>
        <v>0.4655219512195119</v>
      </c>
      <c r="O175" s="5">
        <v>0.18</v>
      </c>
      <c r="P175" s="6"/>
      <c r="Q175" s="6"/>
      <c r="R175" s="23" t="s">
        <v>231</v>
      </c>
      <c r="S175" s="24" t="s">
        <v>22</v>
      </c>
    </row>
    <row r="176" spans="1:19" x14ac:dyDescent="0.3">
      <c r="A176" s="19" t="str">
        <f t="shared" si="14"/>
        <v>01</v>
      </c>
      <c r="B176" s="20" t="s">
        <v>229</v>
      </c>
      <c r="C176" s="21" t="s">
        <v>230</v>
      </c>
      <c r="D176" s="21">
        <v>85364</v>
      </c>
      <c r="E176" s="22">
        <v>45292</v>
      </c>
      <c r="F176" s="21"/>
      <c r="G176" s="4">
        <v>0.71779999999999999</v>
      </c>
      <c r="H176" s="4">
        <f t="shared" si="15"/>
        <v>1.0613599999999996</v>
      </c>
      <c r="I176" s="4">
        <f t="shared" si="16"/>
        <v>0.99694249999999984</v>
      </c>
      <c r="J176" s="4">
        <f t="shared" si="17"/>
        <v>0.88957999999999982</v>
      </c>
      <c r="K176" s="4">
        <v>0.36559999999999998</v>
      </c>
      <c r="L176" s="4">
        <f t="shared" si="18"/>
        <v>0.63871999999999973</v>
      </c>
      <c r="M176" s="4">
        <f t="shared" si="19"/>
        <v>0.58750999999999975</v>
      </c>
      <c r="N176" s="4">
        <f t="shared" si="20"/>
        <v>0.50215999999999972</v>
      </c>
      <c r="O176" s="5">
        <v>0.2</v>
      </c>
      <c r="P176" s="6"/>
      <c r="Q176" s="6"/>
      <c r="R176" s="23" t="s">
        <v>231</v>
      </c>
      <c r="S176" s="24" t="s">
        <v>417</v>
      </c>
    </row>
    <row r="177" spans="1:19" x14ac:dyDescent="0.3">
      <c r="A177" s="19" t="str">
        <f t="shared" si="14"/>
        <v>01</v>
      </c>
      <c r="B177" s="20" t="s">
        <v>232</v>
      </c>
      <c r="C177" s="21" t="s">
        <v>233</v>
      </c>
      <c r="D177" s="21">
        <v>8538</v>
      </c>
      <c r="E177" s="22">
        <v>43592</v>
      </c>
      <c r="F177" s="22">
        <v>45291</v>
      </c>
      <c r="G177" s="4">
        <v>0.71779999999999999</v>
      </c>
      <c r="H177" s="4">
        <f t="shared" si="15"/>
        <v>1.011082926829268</v>
      </c>
      <c r="I177" s="4">
        <f t="shared" si="16"/>
        <v>0.94823658536585342</v>
      </c>
      <c r="J177" s="4">
        <f t="shared" si="17"/>
        <v>0.843492682926829</v>
      </c>
      <c r="K177" s="4">
        <v>0.36559999999999998</v>
      </c>
      <c r="L177" s="4">
        <f t="shared" si="18"/>
        <v>0.5987512195121949</v>
      </c>
      <c r="M177" s="4">
        <f t="shared" si="19"/>
        <v>0.54879024390243858</v>
      </c>
      <c r="N177" s="4">
        <f t="shared" si="20"/>
        <v>0.4655219512195119</v>
      </c>
      <c r="O177" s="5">
        <v>0.18</v>
      </c>
      <c r="P177" s="6"/>
      <c r="Q177" s="6"/>
      <c r="R177" s="23" t="s">
        <v>234</v>
      </c>
      <c r="S177" s="24" t="s">
        <v>22</v>
      </c>
    </row>
    <row r="178" spans="1:19" x14ac:dyDescent="0.3">
      <c r="A178" s="19" t="str">
        <f t="shared" si="14"/>
        <v>01</v>
      </c>
      <c r="B178" s="20" t="s">
        <v>232</v>
      </c>
      <c r="C178" s="21" t="s">
        <v>233</v>
      </c>
      <c r="D178" s="21">
        <v>8538</v>
      </c>
      <c r="E178" s="22">
        <v>45292</v>
      </c>
      <c r="F178" s="21"/>
      <c r="G178" s="4">
        <v>0.71779999999999999</v>
      </c>
      <c r="H178" s="4">
        <f t="shared" si="15"/>
        <v>1.0613599999999996</v>
      </c>
      <c r="I178" s="4">
        <f t="shared" si="16"/>
        <v>0.99694249999999984</v>
      </c>
      <c r="J178" s="4">
        <f t="shared" si="17"/>
        <v>0.88957999999999982</v>
      </c>
      <c r="K178" s="4">
        <v>0.36559999999999998</v>
      </c>
      <c r="L178" s="4">
        <f t="shared" si="18"/>
        <v>0.63871999999999973</v>
      </c>
      <c r="M178" s="4">
        <f t="shared" si="19"/>
        <v>0.58750999999999975</v>
      </c>
      <c r="N178" s="4">
        <f t="shared" si="20"/>
        <v>0.50215999999999972</v>
      </c>
      <c r="O178" s="5">
        <v>0.2</v>
      </c>
      <c r="P178" s="6"/>
      <c r="Q178" s="6"/>
      <c r="R178" s="23" t="s">
        <v>234</v>
      </c>
      <c r="S178" s="24" t="s">
        <v>417</v>
      </c>
    </row>
    <row r="179" spans="1:19" x14ac:dyDescent="0.3">
      <c r="A179" s="19" t="str">
        <f t="shared" si="14"/>
        <v>01</v>
      </c>
      <c r="B179" s="20" t="s">
        <v>235</v>
      </c>
      <c r="C179" s="21" t="s">
        <v>236</v>
      </c>
      <c r="D179" s="21">
        <v>853910</v>
      </c>
      <c r="E179" s="22">
        <v>43592</v>
      </c>
      <c r="F179" s="22">
        <v>45291</v>
      </c>
      <c r="G179" s="4">
        <v>0.71779999999999999</v>
      </c>
      <c r="H179" s="4">
        <f t="shared" si="15"/>
        <v>1.011082926829268</v>
      </c>
      <c r="I179" s="4">
        <f t="shared" si="16"/>
        <v>0.94823658536585342</v>
      </c>
      <c r="J179" s="4">
        <f t="shared" si="17"/>
        <v>0.843492682926829</v>
      </c>
      <c r="K179" s="4">
        <v>0.36559999999999998</v>
      </c>
      <c r="L179" s="4">
        <f t="shared" si="18"/>
        <v>0.5987512195121949</v>
      </c>
      <c r="M179" s="4">
        <f t="shared" si="19"/>
        <v>0.54879024390243858</v>
      </c>
      <c r="N179" s="4">
        <f t="shared" si="20"/>
        <v>0.4655219512195119</v>
      </c>
      <c r="O179" s="5">
        <v>0.18</v>
      </c>
      <c r="P179" s="6"/>
      <c r="Q179" s="6"/>
      <c r="R179" s="23" t="s">
        <v>237</v>
      </c>
      <c r="S179" s="24" t="s">
        <v>22</v>
      </c>
    </row>
    <row r="180" spans="1:19" x14ac:dyDescent="0.3">
      <c r="A180" s="19" t="str">
        <f t="shared" si="14"/>
        <v>01</v>
      </c>
      <c r="B180" s="20" t="s">
        <v>235</v>
      </c>
      <c r="C180" s="21" t="s">
        <v>236</v>
      </c>
      <c r="D180" s="21">
        <v>853910</v>
      </c>
      <c r="E180" s="22">
        <v>45292</v>
      </c>
      <c r="F180" s="21"/>
      <c r="G180" s="4">
        <v>0.71779999999999999</v>
      </c>
      <c r="H180" s="4">
        <f t="shared" si="15"/>
        <v>1.0613599999999996</v>
      </c>
      <c r="I180" s="4">
        <f t="shared" si="16"/>
        <v>0.99694249999999984</v>
      </c>
      <c r="J180" s="4">
        <f t="shared" si="17"/>
        <v>0.88957999999999982</v>
      </c>
      <c r="K180" s="4">
        <v>0.36559999999999998</v>
      </c>
      <c r="L180" s="4">
        <f t="shared" si="18"/>
        <v>0.63871999999999973</v>
      </c>
      <c r="M180" s="4">
        <f t="shared" si="19"/>
        <v>0.58750999999999975</v>
      </c>
      <c r="N180" s="4">
        <f t="shared" si="20"/>
        <v>0.50215999999999972</v>
      </c>
      <c r="O180" s="5">
        <v>0.2</v>
      </c>
      <c r="P180" s="6"/>
      <c r="Q180" s="6"/>
      <c r="R180" s="23" t="s">
        <v>237</v>
      </c>
      <c r="S180" s="24" t="s">
        <v>417</v>
      </c>
    </row>
    <row r="181" spans="1:19" x14ac:dyDescent="0.3">
      <c r="A181" s="19" t="str">
        <f t="shared" si="14"/>
        <v>01</v>
      </c>
      <c r="B181" s="20" t="s">
        <v>238</v>
      </c>
      <c r="C181" s="21" t="s">
        <v>239</v>
      </c>
      <c r="D181" s="21">
        <v>85392</v>
      </c>
      <c r="E181" s="22">
        <v>43592</v>
      </c>
      <c r="F181" s="22">
        <v>45291</v>
      </c>
      <c r="G181" s="4">
        <v>0.71779999999999999</v>
      </c>
      <c r="H181" s="4">
        <f t="shared" si="15"/>
        <v>1.011082926829268</v>
      </c>
      <c r="I181" s="4">
        <f t="shared" si="16"/>
        <v>0.94823658536585342</v>
      </c>
      <c r="J181" s="4">
        <f t="shared" si="17"/>
        <v>0.843492682926829</v>
      </c>
      <c r="K181" s="4">
        <v>0.36559999999999998</v>
      </c>
      <c r="L181" s="4">
        <f t="shared" si="18"/>
        <v>0.5987512195121949</v>
      </c>
      <c r="M181" s="4">
        <f t="shared" si="19"/>
        <v>0.54879024390243858</v>
      </c>
      <c r="N181" s="4">
        <f t="shared" si="20"/>
        <v>0.4655219512195119</v>
      </c>
      <c r="O181" s="5">
        <v>0.18</v>
      </c>
      <c r="P181" s="6"/>
      <c r="Q181" s="6"/>
      <c r="R181" s="23" t="s">
        <v>240</v>
      </c>
      <c r="S181" s="24" t="s">
        <v>22</v>
      </c>
    </row>
    <row r="182" spans="1:19" x14ac:dyDescent="0.3">
      <c r="A182" s="19" t="str">
        <f t="shared" si="14"/>
        <v>01</v>
      </c>
      <c r="B182" s="20" t="s">
        <v>238</v>
      </c>
      <c r="C182" s="21" t="s">
        <v>239</v>
      </c>
      <c r="D182" s="21">
        <v>85392</v>
      </c>
      <c r="E182" s="22">
        <v>45292</v>
      </c>
      <c r="F182" s="21"/>
      <c r="G182" s="4">
        <v>0.71779999999999999</v>
      </c>
      <c r="H182" s="4">
        <f t="shared" si="15"/>
        <v>1.0613599999999996</v>
      </c>
      <c r="I182" s="4">
        <f t="shared" si="16"/>
        <v>0.99694249999999984</v>
      </c>
      <c r="J182" s="4">
        <f t="shared" si="17"/>
        <v>0.88957999999999982</v>
      </c>
      <c r="K182" s="4">
        <v>0.36559999999999998</v>
      </c>
      <c r="L182" s="4">
        <f t="shared" si="18"/>
        <v>0.63871999999999973</v>
      </c>
      <c r="M182" s="4">
        <f t="shared" si="19"/>
        <v>0.58750999999999975</v>
      </c>
      <c r="N182" s="4">
        <f t="shared" si="20"/>
        <v>0.50215999999999972</v>
      </c>
      <c r="O182" s="5">
        <v>0.2</v>
      </c>
      <c r="P182" s="6"/>
      <c r="Q182" s="6"/>
      <c r="R182" s="23" t="s">
        <v>240</v>
      </c>
      <c r="S182" s="24" t="s">
        <v>417</v>
      </c>
    </row>
    <row r="183" spans="1:19" x14ac:dyDescent="0.3">
      <c r="A183" s="19" t="str">
        <f t="shared" si="14"/>
        <v>01</v>
      </c>
      <c r="B183" s="20" t="s">
        <v>241</v>
      </c>
      <c r="C183" s="21" t="s">
        <v>242</v>
      </c>
      <c r="D183" s="21">
        <v>85442000</v>
      </c>
      <c r="E183" s="22">
        <v>43592</v>
      </c>
      <c r="F183" s="22">
        <v>45291</v>
      </c>
      <c r="G183" s="4">
        <v>0.71779999999999999</v>
      </c>
      <c r="H183" s="4">
        <f t="shared" si="15"/>
        <v>1.011082926829268</v>
      </c>
      <c r="I183" s="4">
        <f t="shared" si="16"/>
        <v>0.94823658536585342</v>
      </c>
      <c r="J183" s="4">
        <f t="shared" si="17"/>
        <v>0.843492682926829</v>
      </c>
      <c r="K183" s="4">
        <v>0.36559999999999998</v>
      </c>
      <c r="L183" s="4">
        <f t="shared" si="18"/>
        <v>0.5987512195121949</v>
      </c>
      <c r="M183" s="4">
        <f t="shared" si="19"/>
        <v>0.54879024390243858</v>
      </c>
      <c r="N183" s="4">
        <f t="shared" si="20"/>
        <v>0.4655219512195119</v>
      </c>
      <c r="O183" s="5">
        <v>0.18</v>
      </c>
      <c r="P183" s="6"/>
      <c r="Q183" s="6"/>
      <c r="R183" s="23" t="s">
        <v>243</v>
      </c>
      <c r="S183" s="24" t="s">
        <v>22</v>
      </c>
    </row>
    <row r="184" spans="1:19" x14ac:dyDescent="0.3">
      <c r="A184" s="19" t="str">
        <f t="shared" si="14"/>
        <v>01</v>
      </c>
      <c r="B184" s="20" t="s">
        <v>241</v>
      </c>
      <c r="C184" s="21" t="s">
        <v>242</v>
      </c>
      <c r="D184" s="21">
        <v>85442000</v>
      </c>
      <c r="E184" s="22">
        <v>45292</v>
      </c>
      <c r="F184" s="21"/>
      <c r="G184" s="4">
        <v>0.71779999999999999</v>
      </c>
      <c r="H184" s="4">
        <f t="shared" si="15"/>
        <v>1.0613599999999996</v>
      </c>
      <c r="I184" s="4">
        <f t="shared" si="16"/>
        <v>0.99694249999999984</v>
      </c>
      <c r="J184" s="4">
        <f t="shared" si="17"/>
        <v>0.88957999999999982</v>
      </c>
      <c r="K184" s="4">
        <v>0.36559999999999998</v>
      </c>
      <c r="L184" s="4">
        <f t="shared" si="18"/>
        <v>0.63871999999999973</v>
      </c>
      <c r="M184" s="4">
        <f t="shared" si="19"/>
        <v>0.58750999999999975</v>
      </c>
      <c r="N184" s="4">
        <f t="shared" si="20"/>
        <v>0.50215999999999972</v>
      </c>
      <c r="O184" s="5">
        <v>0.2</v>
      </c>
      <c r="P184" s="6"/>
      <c r="Q184" s="6"/>
      <c r="R184" s="23" t="s">
        <v>243</v>
      </c>
      <c r="S184" s="24" t="s">
        <v>417</v>
      </c>
    </row>
    <row r="185" spans="1:19" x14ac:dyDescent="0.3">
      <c r="A185" s="19" t="str">
        <f t="shared" si="14"/>
        <v>01</v>
      </c>
      <c r="B185" s="20" t="s">
        <v>244</v>
      </c>
      <c r="C185" s="21" t="s">
        <v>245</v>
      </c>
      <c r="D185" s="21">
        <v>85443000</v>
      </c>
      <c r="E185" s="22">
        <v>43592</v>
      </c>
      <c r="F185" s="22">
        <v>45291</v>
      </c>
      <c r="G185" s="4">
        <v>0.71779999999999999</v>
      </c>
      <c r="H185" s="4">
        <f t="shared" si="15"/>
        <v>1.011082926829268</v>
      </c>
      <c r="I185" s="4">
        <f t="shared" si="16"/>
        <v>0.94823658536585342</v>
      </c>
      <c r="J185" s="4">
        <f t="shared" si="17"/>
        <v>0.843492682926829</v>
      </c>
      <c r="K185" s="4">
        <v>0.36559999999999998</v>
      </c>
      <c r="L185" s="4">
        <f t="shared" si="18"/>
        <v>0.5987512195121949</v>
      </c>
      <c r="M185" s="4">
        <f t="shared" si="19"/>
        <v>0.54879024390243858</v>
      </c>
      <c r="N185" s="4">
        <f t="shared" si="20"/>
        <v>0.4655219512195119</v>
      </c>
      <c r="O185" s="5">
        <v>0.18</v>
      </c>
      <c r="P185" s="6"/>
      <c r="Q185" s="6"/>
      <c r="R185" s="23" t="s">
        <v>246</v>
      </c>
      <c r="S185" s="24" t="s">
        <v>22</v>
      </c>
    </row>
    <row r="186" spans="1:19" x14ac:dyDescent="0.3">
      <c r="A186" s="19" t="str">
        <f t="shared" si="14"/>
        <v>01</v>
      </c>
      <c r="B186" s="20" t="s">
        <v>244</v>
      </c>
      <c r="C186" s="21" t="s">
        <v>245</v>
      </c>
      <c r="D186" s="21">
        <v>85443000</v>
      </c>
      <c r="E186" s="22">
        <v>45292</v>
      </c>
      <c r="F186" s="21"/>
      <c r="G186" s="4">
        <v>0.71779999999999999</v>
      </c>
      <c r="H186" s="4">
        <f t="shared" si="15"/>
        <v>1.0613599999999996</v>
      </c>
      <c r="I186" s="4">
        <f t="shared" si="16"/>
        <v>0.99694249999999984</v>
      </c>
      <c r="J186" s="4">
        <f t="shared" si="17"/>
        <v>0.88957999999999982</v>
      </c>
      <c r="K186" s="4">
        <v>0.36559999999999998</v>
      </c>
      <c r="L186" s="4">
        <f t="shared" si="18"/>
        <v>0.63871999999999973</v>
      </c>
      <c r="M186" s="4">
        <f t="shared" si="19"/>
        <v>0.58750999999999975</v>
      </c>
      <c r="N186" s="4">
        <f t="shared" si="20"/>
        <v>0.50215999999999972</v>
      </c>
      <c r="O186" s="5">
        <v>0.2</v>
      </c>
      <c r="P186" s="6"/>
      <c r="Q186" s="6"/>
      <c r="R186" s="23" t="s">
        <v>246</v>
      </c>
      <c r="S186" s="24" t="s">
        <v>417</v>
      </c>
    </row>
    <row r="187" spans="1:19" x14ac:dyDescent="0.3">
      <c r="A187" s="19" t="str">
        <f t="shared" si="14"/>
        <v>01</v>
      </c>
      <c r="B187" s="20" t="s">
        <v>247</v>
      </c>
      <c r="C187" s="21" t="s">
        <v>248</v>
      </c>
      <c r="D187" s="21">
        <v>8707</v>
      </c>
      <c r="E187" s="22">
        <v>43592</v>
      </c>
      <c r="F187" s="22">
        <v>45291</v>
      </c>
      <c r="G187" s="4">
        <v>0.71779999999999999</v>
      </c>
      <c r="H187" s="4">
        <f t="shared" si="15"/>
        <v>1.011082926829268</v>
      </c>
      <c r="I187" s="4">
        <f t="shared" si="16"/>
        <v>0.94823658536585342</v>
      </c>
      <c r="J187" s="4">
        <f t="shared" si="17"/>
        <v>0.843492682926829</v>
      </c>
      <c r="K187" s="4">
        <v>0.36559999999999998</v>
      </c>
      <c r="L187" s="4">
        <f t="shared" si="18"/>
        <v>0.5987512195121949</v>
      </c>
      <c r="M187" s="4">
        <f t="shared" si="19"/>
        <v>0.54879024390243858</v>
      </c>
      <c r="N187" s="4">
        <f t="shared" si="20"/>
        <v>0.4655219512195119</v>
      </c>
      <c r="O187" s="5">
        <v>0.18</v>
      </c>
      <c r="P187" s="6"/>
      <c r="Q187" s="6"/>
      <c r="R187" s="23" t="s">
        <v>249</v>
      </c>
      <c r="S187" s="24" t="s">
        <v>22</v>
      </c>
    </row>
    <row r="188" spans="1:19" x14ac:dyDescent="0.3">
      <c r="A188" s="19" t="str">
        <f t="shared" si="14"/>
        <v>01</v>
      </c>
      <c r="B188" s="20" t="s">
        <v>247</v>
      </c>
      <c r="C188" s="21" t="s">
        <v>248</v>
      </c>
      <c r="D188" s="21">
        <v>8707</v>
      </c>
      <c r="E188" s="22">
        <v>45292</v>
      </c>
      <c r="F188" s="21"/>
      <c r="G188" s="4">
        <v>0.71779999999999999</v>
      </c>
      <c r="H188" s="4">
        <f t="shared" si="15"/>
        <v>1.0613599999999996</v>
      </c>
      <c r="I188" s="4">
        <f t="shared" si="16"/>
        <v>0.99694249999999984</v>
      </c>
      <c r="J188" s="4">
        <f t="shared" si="17"/>
        <v>0.88957999999999982</v>
      </c>
      <c r="K188" s="4">
        <v>0.36559999999999998</v>
      </c>
      <c r="L188" s="4">
        <f t="shared" si="18"/>
        <v>0.63871999999999973</v>
      </c>
      <c r="M188" s="4">
        <f t="shared" si="19"/>
        <v>0.58750999999999975</v>
      </c>
      <c r="N188" s="4">
        <f t="shared" si="20"/>
        <v>0.50215999999999972</v>
      </c>
      <c r="O188" s="5">
        <v>0.2</v>
      </c>
      <c r="P188" s="6"/>
      <c r="Q188" s="6"/>
      <c r="R188" s="23" t="s">
        <v>249</v>
      </c>
      <c r="S188" s="24" t="s">
        <v>417</v>
      </c>
    </row>
    <row r="189" spans="1:19" x14ac:dyDescent="0.3">
      <c r="A189" s="19" t="str">
        <f t="shared" si="14"/>
        <v>01</v>
      </c>
      <c r="B189" s="20" t="s">
        <v>250</v>
      </c>
      <c r="C189" s="21" t="s">
        <v>251</v>
      </c>
      <c r="D189" s="21">
        <v>8708</v>
      </c>
      <c r="E189" s="22">
        <v>43592</v>
      </c>
      <c r="F189" s="22">
        <v>45291</v>
      </c>
      <c r="G189" s="4">
        <v>0.71779999999999999</v>
      </c>
      <c r="H189" s="4">
        <f t="shared" si="15"/>
        <v>1.011082926829268</v>
      </c>
      <c r="I189" s="4">
        <f t="shared" si="16"/>
        <v>0.94823658536585342</v>
      </c>
      <c r="J189" s="4">
        <f t="shared" si="17"/>
        <v>0.843492682926829</v>
      </c>
      <c r="K189" s="4">
        <v>0.36559999999999998</v>
      </c>
      <c r="L189" s="4">
        <f t="shared" si="18"/>
        <v>0.5987512195121949</v>
      </c>
      <c r="M189" s="4">
        <f t="shared" si="19"/>
        <v>0.54879024390243858</v>
      </c>
      <c r="N189" s="4">
        <f t="shared" si="20"/>
        <v>0.4655219512195119</v>
      </c>
      <c r="O189" s="5">
        <v>0.18</v>
      </c>
      <c r="P189" s="6"/>
      <c r="Q189" s="6"/>
      <c r="R189" s="23" t="s">
        <v>252</v>
      </c>
      <c r="S189" s="24" t="s">
        <v>22</v>
      </c>
    </row>
    <row r="190" spans="1:19" x14ac:dyDescent="0.3">
      <c r="A190" s="19" t="str">
        <f t="shared" si="14"/>
        <v>01</v>
      </c>
      <c r="B190" s="20" t="s">
        <v>250</v>
      </c>
      <c r="C190" s="21" t="s">
        <v>251</v>
      </c>
      <c r="D190" s="21">
        <v>8708</v>
      </c>
      <c r="E190" s="22">
        <v>45292</v>
      </c>
      <c r="F190" s="21"/>
      <c r="G190" s="4">
        <v>0.71779999999999999</v>
      </c>
      <c r="H190" s="4">
        <f t="shared" si="15"/>
        <v>1.0613599999999996</v>
      </c>
      <c r="I190" s="4">
        <f t="shared" si="16"/>
        <v>0.99694249999999984</v>
      </c>
      <c r="J190" s="4">
        <f t="shared" si="17"/>
        <v>0.88957999999999982</v>
      </c>
      <c r="K190" s="4">
        <v>0.36559999999999998</v>
      </c>
      <c r="L190" s="4">
        <f t="shared" si="18"/>
        <v>0.63871999999999973</v>
      </c>
      <c r="M190" s="4">
        <f t="shared" si="19"/>
        <v>0.58750999999999975</v>
      </c>
      <c r="N190" s="4">
        <f t="shared" si="20"/>
        <v>0.50215999999999972</v>
      </c>
      <c r="O190" s="5">
        <v>0.2</v>
      </c>
      <c r="P190" s="6"/>
      <c r="Q190" s="6"/>
      <c r="R190" s="23" t="s">
        <v>252</v>
      </c>
      <c r="S190" s="24" t="s">
        <v>417</v>
      </c>
    </row>
    <row r="191" spans="1:19" x14ac:dyDescent="0.3">
      <c r="A191" s="19" t="str">
        <f t="shared" si="14"/>
        <v>01</v>
      </c>
      <c r="B191" s="20" t="s">
        <v>253</v>
      </c>
      <c r="C191" s="21" t="s">
        <v>254</v>
      </c>
      <c r="D191" s="21">
        <v>87141</v>
      </c>
      <c r="E191" s="22">
        <v>43592</v>
      </c>
      <c r="F191" s="22">
        <v>45291</v>
      </c>
      <c r="G191" s="4">
        <v>0.71779999999999999</v>
      </c>
      <c r="H191" s="4">
        <f t="shared" si="15"/>
        <v>1.011082926829268</v>
      </c>
      <c r="I191" s="4">
        <f t="shared" si="16"/>
        <v>0.94823658536585342</v>
      </c>
      <c r="J191" s="4">
        <f t="shared" si="17"/>
        <v>0.843492682926829</v>
      </c>
      <c r="K191" s="4">
        <v>0.36559999999999998</v>
      </c>
      <c r="L191" s="4">
        <f t="shared" si="18"/>
        <v>0.5987512195121949</v>
      </c>
      <c r="M191" s="4">
        <f t="shared" si="19"/>
        <v>0.54879024390243858</v>
      </c>
      <c r="N191" s="4">
        <f t="shared" si="20"/>
        <v>0.4655219512195119</v>
      </c>
      <c r="O191" s="5">
        <v>0.18</v>
      </c>
      <c r="P191" s="6"/>
      <c r="Q191" s="6"/>
      <c r="R191" s="23" t="s">
        <v>255</v>
      </c>
      <c r="S191" s="24" t="s">
        <v>22</v>
      </c>
    </row>
    <row r="192" spans="1:19" x14ac:dyDescent="0.3">
      <c r="A192" s="19" t="str">
        <f t="shared" si="14"/>
        <v>01</v>
      </c>
      <c r="B192" s="20" t="s">
        <v>253</v>
      </c>
      <c r="C192" s="21" t="s">
        <v>254</v>
      </c>
      <c r="D192" s="21">
        <v>87141</v>
      </c>
      <c r="E192" s="22">
        <v>45292</v>
      </c>
      <c r="F192" s="21"/>
      <c r="G192" s="4">
        <v>0.71779999999999999</v>
      </c>
      <c r="H192" s="4">
        <f t="shared" si="15"/>
        <v>1.0613599999999996</v>
      </c>
      <c r="I192" s="4">
        <f t="shared" si="16"/>
        <v>0.99694249999999984</v>
      </c>
      <c r="J192" s="4">
        <f t="shared" si="17"/>
        <v>0.88957999999999982</v>
      </c>
      <c r="K192" s="4">
        <v>0.36559999999999998</v>
      </c>
      <c r="L192" s="4">
        <f t="shared" si="18"/>
        <v>0.63871999999999973</v>
      </c>
      <c r="M192" s="4">
        <f t="shared" si="19"/>
        <v>0.58750999999999975</v>
      </c>
      <c r="N192" s="4">
        <f t="shared" si="20"/>
        <v>0.50215999999999972</v>
      </c>
      <c r="O192" s="5">
        <v>0.2</v>
      </c>
      <c r="P192" s="6"/>
      <c r="Q192" s="6"/>
      <c r="R192" s="23" t="s">
        <v>255</v>
      </c>
      <c r="S192" s="24" t="s">
        <v>417</v>
      </c>
    </row>
    <row r="193" spans="1:19" x14ac:dyDescent="0.3">
      <c r="A193" s="19" t="str">
        <f t="shared" si="14"/>
        <v>01</v>
      </c>
      <c r="B193" s="20" t="s">
        <v>256</v>
      </c>
      <c r="C193" s="21" t="s">
        <v>257</v>
      </c>
      <c r="D193" s="21">
        <v>87169090</v>
      </c>
      <c r="E193" s="22">
        <v>43592</v>
      </c>
      <c r="F193" s="22">
        <v>45291</v>
      </c>
      <c r="G193" s="4">
        <v>0.71779999999999999</v>
      </c>
      <c r="H193" s="4">
        <f t="shared" si="15"/>
        <v>1.011082926829268</v>
      </c>
      <c r="I193" s="4">
        <f t="shared" si="16"/>
        <v>0.94823658536585342</v>
      </c>
      <c r="J193" s="4">
        <f t="shared" si="17"/>
        <v>0.843492682926829</v>
      </c>
      <c r="K193" s="4">
        <v>0.36559999999999998</v>
      </c>
      <c r="L193" s="4">
        <f t="shared" si="18"/>
        <v>0.5987512195121949</v>
      </c>
      <c r="M193" s="4">
        <f t="shared" si="19"/>
        <v>0.54879024390243858</v>
      </c>
      <c r="N193" s="4">
        <f t="shared" si="20"/>
        <v>0.4655219512195119</v>
      </c>
      <c r="O193" s="5">
        <v>0.18</v>
      </c>
      <c r="P193" s="6"/>
      <c r="Q193" s="6"/>
      <c r="R193" s="23" t="s">
        <v>258</v>
      </c>
      <c r="S193" s="24" t="s">
        <v>22</v>
      </c>
    </row>
    <row r="194" spans="1:19" x14ac:dyDescent="0.3">
      <c r="A194" s="19" t="str">
        <f t="shared" ref="A194:A257" si="21">LEFT(C194,2)</f>
        <v>01</v>
      </c>
      <c r="B194" s="20" t="s">
        <v>256</v>
      </c>
      <c r="C194" s="21" t="s">
        <v>257</v>
      </c>
      <c r="D194" s="21">
        <v>87169090</v>
      </c>
      <c r="E194" s="22">
        <v>45292</v>
      </c>
      <c r="F194" s="21"/>
      <c r="G194" s="4">
        <v>0.71779999999999999</v>
      </c>
      <c r="H194" s="4">
        <f t="shared" ref="H194:H257" si="22">((1+$G194)*(1-4%)/(1-$O194))-1</f>
        <v>1.0613599999999996</v>
      </c>
      <c r="I194" s="4">
        <f t="shared" ref="I194:I257" si="23">((1+$G194)*(1-7%)/(1-$O194))-1</f>
        <v>0.99694249999999984</v>
      </c>
      <c r="J194" s="4">
        <f t="shared" ref="J194:J257" si="24">((1+$G194)*(1-12%)/(1-$O194))-1</f>
        <v>0.88957999999999982</v>
      </c>
      <c r="K194" s="4">
        <v>0.36559999999999998</v>
      </c>
      <c r="L194" s="4">
        <f t="shared" ref="L194:L257" si="25">((1+$K194)*(1-4%)/(1-$O194))-1</f>
        <v>0.63871999999999973</v>
      </c>
      <c r="M194" s="4">
        <f t="shared" ref="M194:M257" si="26">((1+$K194)*(1-7%)/(1-$O194))-1</f>
        <v>0.58750999999999975</v>
      </c>
      <c r="N194" s="4">
        <f t="shared" ref="N194:N257" si="27">((1+$K194)*(1-12%)/(1-$O194))-1</f>
        <v>0.50215999999999972</v>
      </c>
      <c r="O194" s="5">
        <v>0.2</v>
      </c>
      <c r="P194" s="6"/>
      <c r="Q194" s="6"/>
      <c r="R194" s="23" t="s">
        <v>258</v>
      </c>
      <c r="S194" s="24" t="s">
        <v>417</v>
      </c>
    </row>
    <row r="195" spans="1:19" x14ac:dyDescent="0.3">
      <c r="A195" s="19" t="str">
        <f t="shared" si="21"/>
        <v>01</v>
      </c>
      <c r="B195" s="20" t="s">
        <v>259</v>
      </c>
      <c r="C195" s="21" t="s">
        <v>260</v>
      </c>
      <c r="D195" s="21">
        <v>902610</v>
      </c>
      <c r="E195" s="22">
        <v>43592</v>
      </c>
      <c r="F195" s="22">
        <v>45291</v>
      </c>
      <c r="G195" s="4">
        <v>0.71779999999999999</v>
      </c>
      <c r="H195" s="4">
        <f t="shared" si="22"/>
        <v>1.011082926829268</v>
      </c>
      <c r="I195" s="4">
        <f t="shared" si="23"/>
        <v>0.94823658536585342</v>
      </c>
      <c r="J195" s="4">
        <f t="shared" si="24"/>
        <v>0.843492682926829</v>
      </c>
      <c r="K195" s="4">
        <v>0.36559999999999998</v>
      </c>
      <c r="L195" s="4">
        <f t="shared" si="25"/>
        <v>0.5987512195121949</v>
      </c>
      <c r="M195" s="4">
        <f t="shared" si="26"/>
        <v>0.54879024390243858</v>
      </c>
      <c r="N195" s="4">
        <f t="shared" si="27"/>
        <v>0.4655219512195119</v>
      </c>
      <c r="O195" s="5">
        <v>0.18</v>
      </c>
      <c r="P195" s="6"/>
      <c r="Q195" s="6"/>
      <c r="R195" s="23" t="s">
        <v>261</v>
      </c>
      <c r="S195" s="24" t="s">
        <v>22</v>
      </c>
    </row>
    <row r="196" spans="1:19" x14ac:dyDescent="0.3">
      <c r="A196" s="19" t="str">
        <f t="shared" si="21"/>
        <v>01</v>
      </c>
      <c r="B196" s="20" t="s">
        <v>259</v>
      </c>
      <c r="C196" s="21" t="s">
        <v>260</v>
      </c>
      <c r="D196" s="21">
        <v>902610</v>
      </c>
      <c r="E196" s="22">
        <v>45292</v>
      </c>
      <c r="F196" s="21"/>
      <c r="G196" s="4">
        <v>0.71779999999999999</v>
      </c>
      <c r="H196" s="4">
        <f t="shared" si="22"/>
        <v>1.0613599999999996</v>
      </c>
      <c r="I196" s="4">
        <f t="shared" si="23"/>
        <v>0.99694249999999984</v>
      </c>
      <c r="J196" s="4">
        <f t="shared" si="24"/>
        <v>0.88957999999999982</v>
      </c>
      <c r="K196" s="4">
        <v>0.36559999999999998</v>
      </c>
      <c r="L196" s="4">
        <f t="shared" si="25"/>
        <v>0.63871999999999973</v>
      </c>
      <c r="M196" s="4">
        <f t="shared" si="26"/>
        <v>0.58750999999999975</v>
      </c>
      <c r="N196" s="4">
        <f t="shared" si="27"/>
        <v>0.50215999999999972</v>
      </c>
      <c r="O196" s="5">
        <v>0.2</v>
      </c>
      <c r="P196" s="6"/>
      <c r="Q196" s="6"/>
      <c r="R196" s="23" t="s">
        <v>261</v>
      </c>
      <c r="S196" s="24" t="s">
        <v>417</v>
      </c>
    </row>
    <row r="197" spans="1:19" x14ac:dyDescent="0.3">
      <c r="A197" s="19" t="str">
        <f t="shared" si="21"/>
        <v>01</v>
      </c>
      <c r="B197" s="20" t="s">
        <v>262</v>
      </c>
      <c r="C197" s="21" t="s">
        <v>263</v>
      </c>
      <c r="D197" s="21">
        <v>902620</v>
      </c>
      <c r="E197" s="22">
        <v>43592</v>
      </c>
      <c r="F197" s="22">
        <v>45291</v>
      </c>
      <c r="G197" s="4">
        <v>0.71779999999999999</v>
      </c>
      <c r="H197" s="4">
        <f t="shared" si="22"/>
        <v>1.011082926829268</v>
      </c>
      <c r="I197" s="4">
        <f t="shared" si="23"/>
        <v>0.94823658536585342</v>
      </c>
      <c r="J197" s="4">
        <f t="shared" si="24"/>
        <v>0.843492682926829</v>
      </c>
      <c r="K197" s="4">
        <v>0.36559999999999998</v>
      </c>
      <c r="L197" s="4">
        <f t="shared" si="25"/>
        <v>0.5987512195121949</v>
      </c>
      <c r="M197" s="4">
        <f t="shared" si="26"/>
        <v>0.54879024390243858</v>
      </c>
      <c r="N197" s="4">
        <f t="shared" si="27"/>
        <v>0.4655219512195119</v>
      </c>
      <c r="O197" s="5">
        <v>0.18</v>
      </c>
      <c r="P197" s="6"/>
      <c r="Q197" s="6"/>
      <c r="R197" s="23" t="s">
        <v>264</v>
      </c>
      <c r="S197" s="24" t="s">
        <v>22</v>
      </c>
    </row>
    <row r="198" spans="1:19" x14ac:dyDescent="0.3">
      <c r="A198" s="19" t="str">
        <f t="shared" si="21"/>
        <v>01</v>
      </c>
      <c r="B198" s="20" t="s">
        <v>262</v>
      </c>
      <c r="C198" s="21" t="s">
        <v>263</v>
      </c>
      <c r="D198" s="21">
        <v>902620</v>
      </c>
      <c r="E198" s="22">
        <v>45292</v>
      </c>
      <c r="F198" s="21"/>
      <c r="G198" s="4">
        <v>0.71779999999999999</v>
      </c>
      <c r="H198" s="4">
        <f t="shared" si="22"/>
        <v>1.0613599999999996</v>
      </c>
      <c r="I198" s="4">
        <f t="shared" si="23"/>
        <v>0.99694249999999984</v>
      </c>
      <c r="J198" s="4">
        <f t="shared" si="24"/>
        <v>0.88957999999999982</v>
      </c>
      <c r="K198" s="4">
        <v>0.36559999999999998</v>
      </c>
      <c r="L198" s="4">
        <f t="shared" si="25"/>
        <v>0.63871999999999973</v>
      </c>
      <c r="M198" s="4">
        <f t="shared" si="26"/>
        <v>0.58750999999999975</v>
      </c>
      <c r="N198" s="4">
        <f t="shared" si="27"/>
        <v>0.50215999999999972</v>
      </c>
      <c r="O198" s="5">
        <v>0.2</v>
      </c>
      <c r="P198" s="6"/>
      <c r="Q198" s="6"/>
      <c r="R198" s="23" t="s">
        <v>264</v>
      </c>
      <c r="S198" s="24" t="s">
        <v>417</v>
      </c>
    </row>
    <row r="199" spans="1:19" x14ac:dyDescent="0.3">
      <c r="A199" s="19" t="str">
        <f t="shared" si="21"/>
        <v>01</v>
      </c>
      <c r="B199" s="20" t="s">
        <v>265</v>
      </c>
      <c r="C199" s="21" t="s">
        <v>266</v>
      </c>
      <c r="D199" s="21">
        <v>9029</v>
      </c>
      <c r="E199" s="22">
        <v>43592</v>
      </c>
      <c r="F199" s="22">
        <v>45291</v>
      </c>
      <c r="G199" s="4">
        <v>0.71779999999999999</v>
      </c>
      <c r="H199" s="4">
        <f t="shared" si="22"/>
        <v>1.011082926829268</v>
      </c>
      <c r="I199" s="4">
        <f t="shared" si="23"/>
        <v>0.94823658536585342</v>
      </c>
      <c r="J199" s="4">
        <f t="shared" si="24"/>
        <v>0.843492682926829</v>
      </c>
      <c r="K199" s="4">
        <v>0.36559999999999998</v>
      </c>
      <c r="L199" s="4">
        <f t="shared" si="25"/>
        <v>0.5987512195121949</v>
      </c>
      <c r="M199" s="4">
        <f t="shared" si="26"/>
        <v>0.54879024390243858</v>
      </c>
      <c r="N199" s="4">
        <f t="shared" si="27"/>
        <v>0.4655219512195119</v>
      </c>
      <c r="O199" s="5">
        <v>0.18</v>
      </c>
      <c r="P199" s="6"/>
      <c r="Q199" s="6"/>
      <c r="R199" s="23" t="s">
        <v>267</v>
      </c>
      <c r="S199" s="24" t="s">
        <v>22</v>
      </c>
    </row>
    <row r="200" spans="1:19" x14ac:dyDescent="0.3">
      <c r="A200" s="19" t="str">
        <f t="shared" si="21"/>
        <v>01</v>
      </c>
      <c r="B200" s="20" t="s">
        <v>265</v>
      </c>
      <c r="C200" s="21" t="s">
        <v>266</v>
      </c>
      <c r="D200" s="21">
        <v>9029</v>
      </c>
      <c r="E200" s="22">
        <v>45292</v>
      </c>
      <c r="F200" s="21"/>
      <c r="G200" s="4">
        <v>0.71779999999999999</v>
      </c>
      <c r="H200" s="4">
        <f t="shared" si="22"/>
        <v>1.0613599999999996</v>
      </c>
      <c r="I200" s="4">
        <f t="shared" si="23"/>
        <v>0.99694249999999984</v>
      </c>
      <c r="J200" s="4">
        <f t="shared" si="24"/>
        <v>0.88957999999999982</v>
      </c>
      <c r="K200" s="4">
        <v>0.36559999999999998</v>
      </c>
      <c r="L200" s="4">
        <f t="shared" si="25"/>
        <v>0.63871999999999973</v>
      </c>
      <c r="M200" s="4">
        <f t="shared" si="26"/>
        <v>0.58750999999999975</v>
      </c>
      <c r="N200" s="4">
        <f t="shared" si="27"/>
        <v>0.50215999999999972</v>
      </c>
      <c r="O200" s="5">
        <v>0.2</v>
      </c>
      <c r="P200" s="6"/>
      <c r="Q200" s="6"/>
      <c r="R200" s="23" t="s">
        <v>267</v>
      </c>
      <c r="S200" s="24" t="s">
        <v>417</v>
      </c>
    </row>
    <row r="201" spans="1:19" x14ac:dyDescent="0.3">
      <c r="A201" s="19" t="str">
        <f t="shared" si="21"/>
        <v>01</v>
      </c>
      <c r="B201" s="20" t="s">
        <v>268</v>
      </c>
      <c r="C201" s="21" t="s">
        <v>269</v>
      </c>
      <c r="D201" s="21">
        <v>90303321</v>
      </c>
      <c r="E201" s="22">
        <v>43592</v>
      </c>
      <c r="F201" s="22">
        <v>45291</v>
      </c>
      <c r="G201" s="4">
        <v>0.71779999999999999</v>
      </c>
      <c r="H201" s="4">
        <f t="shared" si="22"/>
        <v>1.011082926829268</v>
      </c>
      <c r="I201" s="4">
        <f t="shared" si="23"/>
        <v>0.94823658536585342</v>
      </c>
      <c r="J201" s="4">
        <f t="shared" si="24"/>
        <v>0.843492682926829</v>
      </c>
      <c r="K201" s="4">
        <v>0.36559999999999998</v>
      </c>
      <c r="L201" s="4">
        <f t="shared" si="25"/>
        <v>0.5987512195121949</v>
      </c>
      <c r="M201" s="4">
        <f t="shared" si="26"/>
        <v>0.54879024390243858</v>
      </c>
      <c r="N201" s="4">
        <f t="shared" si="27"/>
        <v>0.4655219512195119</v>
      </c>
      <c r="O201" s="5">
        <v>0.18</v>
      </c>
      <c r="P201" s="6"/>
      <c r="Q201" s="6"/>
      <c r="R201" s="23" t="s">
        <v>270</v>
      </c>
      <c r="S201" s="24" t="s">
        <v>22</v>
      </c>
    </row>
    <row r="202" spans="1:19" x14ac:dyDescent="0.3">
      <c r="A202" s="19" t="str">
        <f t="shared" si="21"/>
        <v>01</v>
      </c>
      <c r="B202" s="20" t="s">
        <v>268</v>
      </c>
      <c r="C202" s="21" t="s">
        <v>269</v>
      </c>
      <c r="D202" s="21">
        <v>90303321</v>
      </c>
      <c r="E202" s="22">
        <v>45292</v>
      </c>
      <c r="F202" s="21"/>
      <c r="G202" s="4">
        <v>0.71779999999999999</v>
      </c>
      <c r="H202" s="4">
        <f t="shared" si="22"/>
        <v>1.0613599999999996</v>
      </c>
      <c r="I202" s="4">
        <f t="shared" si="23"/>
        <v>0.99694249999999984</v>
      </c>
      <c r="J202" s="4">
        <f t="shared" si="24"/>
        <v>0.88957999999999982</v>
      </c>
      <c r="K202" s="4">
        <v>0.36559999999999998</v>
      </c>
      <c r="L202" s="4">
        <f t="shared" si="25"/>
        <v>0.63871999999999973</v>
      </c>
      <c r="M202" s="4">
        <f t="shared" si="26"/>
        <v>0.58750999999999975</v>
      </c>
      <c r="N202" s="4">
        <f t="shared" si="27"/>
        <v>0.50215999999999972</v>
      </c>
      <c r="O202" s="5">
        <v>0.2</v>
      </c>
      <c r="P202" s="6"/>
      <c r="Q202" s="6"/>
      <c r="R202" s="23" t="s">
        <v>270</v>
      </c>
      <c r="S202" s="24" t="s">
        <v>417</v>
      </c>
    </row>
    <row r="203" spans="1:19" x14ac:dyDescent="0.3">
      <c r="A203" s="19" t="str">
        <f t="shared" si="21"/>
        <v>01</v>
      </c>
      <c r="B203" s="20" t="s">
        <v>271</v>
      </c>
      <c r="C203" s="21" t="s">
        <v>272</v>
      </c>
      <c r="D203" s="21">
        <v>90318040</v>
      </c>
      <c r="E203" s="22">
        <v>43592</v>
      </c>
      <c r="F203" s="22">
        <v>45291</v>
      </c>
      <c r="G203" s="4">
        <v>0.71779999999999999</v>
      </c>
      <c r="H203" s="4">
        <f t="shared" si="22"/>
        <v>1.011082926829268</v>
      </c>
      <c r="I203" s="4">
        <f t="shared" si="23"/>
        <v>0.94823658536585342</v>
      </c>
      <c r="J203" s="4">
        <f t="shared" si="24"/>
        <v>0.843492682926829</v>
      </c>
      <c r="K203" s="4">
        <v>0.36559999999999998</v>
      </c>
      <c r="L203" s="4">
        <f t="shared" si="25"/>
        <v>0.5987512195121949</v>
      </c>
      <c r="M203" s="4">
        <f t="shared" si="26"/>
        <v>0.54879024390243858</v>
      </c>
      <c r="N203" s="4">
        <f t="shared" si="27"/>
        <v>0.4655219512195119</v>
      </c>
      <c r="O203" s="5">
        <v>0.18</v>
      </c>
      <c r="P203" s="6"/>
      <c r="Q203" s="6"/>
      <c r="R203" s="23" t="s">
        <v>273</v>
      </c>
      <c r="S203" s="24" t="s">
        <v>22</v>
      </c>
    </row>
    <row r="204" spans="1:19" x14ac:dyDescent="0.3">
      <c r="A204" s="19" t="str">
        <f t="shared" si="21"/>
        <v>01</v>
      </c>
      <c r="B204" s="20" t="s">
        <v>271</v>
      </c>
      <c r="C204" s="21" t="s">
        <v>272</v>
      </c>
      <c r="D204" s="21">
        <v>90318040</v>
      </c>
      <c r="E204" s="22">
        <v>45292</v>
      </c>
      <c r="F204" s="21"/>
      <c r="G204" s="4">
        <v>0.71779999999999999</v>
      </c>
      <c r="H204" s="4">
        <f t="shared" si="22"/>
        <v>1.0613599999999996</v>
      </c>
      <c r="I204" s="4">
        <f t="shared" si="23"/>
        <v>0.99694249999999984</v>
      </c>
      <c r="J204" s="4">
        <f t="shared" si="24"/>
        <v>0.88957999999999982</v>
      </c>
      <c r="K204" s="4">
        <v>0.36559999999999998</v>
      </c>
      <c r="L204" s="4">
        <f t="shared" si="25"/>
        <v>0.63871999999999973</v>
      </c>
      <c r="M204" s="4">
        <f t="shared" si="26"/>
        <v>0.58750999999999975</v>
      </c>
      <c r="N204" s="4">
        <f t="shared" si="27"/>
        <v>0.50215999999999972</v>
      </c>
      <c r="O204" s="5">
        <v>0.2</v>
      </c>
      <c r="P204" s="6"/>
      <c r="Q204" s="6"/>
      <c r="R204" s="23" t="s">
        <v>273</v>
      </c>
      <c r="S204" s="24" t="s">
        <v>417</v>
      </c>
    </row>
    <row r="205" spans="1:19" x14ac:dyDescent="0.3">
      <c r="A205" s="19" t="str">
        <f t="shared" si="21"/>
        <v>01</v>
      </c>
      <c r="B205" s="20" t="s">
        <v>274</v>
      </c>
      <c r="C205" s="21" t="s">
        <v>275</v>
      </c>
      <c r="D205" s="21">
        <v>9032892</v>
      </c>
      <c r="E205" s="22">
        <v>43592</v>
      </c>
      <c r="F205" s="22">
        <v>45291</v>
      </c>
      <c r="G205" s="4">
        <v>0.71779999999999999</v>
      </c>
      <c r="H205" s="4">
        <f t="shared" si="22"/>
        <v>1.011082926829268</v>
      </c>
      <c r="I205" s="4">
        <f t="shared" si="23"/>
        <v>0.94823658536585342</v>
      </c>
      <c r="J205" s="4">
        <f t="shared" si="24"/>
        <v>0.843492682926829</v>
      </c>
      <c r="K205" s="4">
        <v>0.36559999999999998</v>
      </c>
      <c r="L205" s="4">
        <f t="shared" si="25"/>
        <v>0.5987512195121949</v>
      </c>
      <c r="M205" s="4">
        <f t="shared" si="26"/>
        <v>0.54879024390243858</v>
      </c>
      <c r="N205" s="4">
        <f t="shared" si="27"/>
        <v>0.4655219512195119</v>
      </c>
      <c r="O205" s="5">
        <v>0.18</v>
      </c>
      <c r="P205" s="6"/>
      <c r="Q205" s="6"/>
      <c r="R205" s="23" t="s">
        <v>276</v>
      </c>
      <c r="S205" s="24" t="s">
        <v>22</v>
      </c>
    </row>
    <row r="206" spans="1:19" x14ac:dyDescent="0.3">
      <c r="A206" s="19" t="str">
        <f t="shared" si="21"/>
        <v>01</v>
      </c>
      <c r="B206" s="20" t="s">
        <v>274</v>
      </c>
      <c r="C206" s="21" t="s">
        <v>275</v>
      </c>
      <c r="D206" s="21">
        <v>9032892</v>
      </c>
      <c r="E206" s="22">
        <v>45292</v>
      </c>
      <c r="F206" s="21"/>
      <c r="G206" s="4">
        <v>0.71779999999999999</v>
      </c>
      <c r="H206" s="4">
        <f t="shared" si="22"/>
        <v>1.0613599999999996</v>
      </c>
      <c r="I206" s="4">
        <f t="shared" si="23"/>
        <v>0.99694249999999984</v>
      </c>
      <c r="J206" s="4">
        <f t="shared" si="24"/>
        <v>0.88957999999999982</v>
      </c>
      <c r="K206" s="4">
        <v>0.36559999999999998</v>
      </c>
      <c r="L206" s="4">
        <f t="shared" si="25"/>
        <v>0.63871999999999973</v>
      </c>
      <c r="M206" s="4">
        <f t="shared" si="26"/>
        <v>0.58750999999999975</v>
      </c>
      <c r="N206" s="4">
        <f t="shared" si="27"/>
        <v>0.50215999999999972</v>
      </c>
      <c r="O206" s="5">
        <v>0.2</v>
      </c>
      <c r="P206" s="6"/>
      <c r="Q206" s="6"/>
      <c r="R206" s="23" t="s">
        <v>276</v>
      </c>
      <c r="S206" s="24" t="s">
        <v>417</v>
      </c>
    </row>
    <row r="207" spans="1:19" x14ac:dyDescent="0.3">
      <c r="A207" s="19" t="str">
        <f t="shared" si="21"/>
        <v>01</v>
      </c>
      <c r="B207" s="20" t="s">
        <v>277</v>
      </c>
      <c r="C207" s="21" t="s">
        <v>278</v>
      </c>
      <c r="D207" s="21">
        <v>91040000</v>
      </c>
      <c r="E207" s="22">
        <v>43592</v>
      </c>
      <c r="F207" s="22">
        <v>45291</v>
      </c>
      <c r="G207" s="4">
        <v>0.71779999999999999</v>
      </c>
      <c r="H207" s="4">
        <f t="shared" si="22"/>
        <v>1.011082926829268</v>
      </c>
      <c r="I207" s="4">
        <f t="shared" si="23"/>
        <v>0.94823658536585342</v>
      </c>
      <c r="J207" s="4">
        <f t="shared" si="24"/>
        <v>0.843492682926829</v>
      </c>
      <c r="K207" s="4">
        <v>0.36559999999999998</v>
      </c>
      <c r="L207" s="4">
        <f t="shared" si="25"/>
        <v>0.5987512195121949</v>
      </c>
      <c r="M207" s="4">
        <f t="shared" si="26"/>
        <v>0.54879024390243858</v>
      </c>
      <c r="N207" s="4">
        <f t="shared" si="27"/>
        <v>0.4655219512195119</v>
      </c>
      <c r="O207" s="5">
        <v>0.18</v>
      </c>
      <c r="P207" s="6"/>
      <c r="Q207" s="6"/>
      <c r="R207" s="23" t="s">
        <v>279</v>
      </c>
      <c r="S207" s="24" t="s">
        <v>22</v>
      </c>
    </row>
    <row r="208" spans="1:19" x14ac:dyDescent="0.3">
      <c r="A208" s="19" t="str">
        <f t="shared" si="21"/>
        <v>01</v>
      </c>
      <c r="B208" s="20" t="s">
        <v>277</v>
      </c>
      <c r="C208" s="21" t="s">
        <v>278</v>
      </c>
      <c r="D208" s="21">
        <v>91040000</v>
      </c>
      <c r="E208" s="22">
        <v>45292</v>
      </c>
      <c r="F208" s="21"/>
      <c r="G208" s="4">
        <v>0.71779999999999999</v>
      </c>
      <c r="H208" s="4">
        <f t="shared" si="22"/>
        <v>1.0613599999999996</v>
      </c>
      <c r="I208" s="4">
        <f t="shared" si="23"/>
        <v>0.99694249999999984</v>
      </c>
      <c r="J208" s="4">
        <f t="shared" si="24"/>
        <v>0.88957999999999982</v>
      </c>
      <c r="K208" s="4">
        <v>0.36559999999999998</v>
      </c>
      <c r="L208" s="4">
        <f t="shared" si="25"/>
        <v>0.63871999999999973</v>
      </c>
      <c r="M208" s="4">
        <f t="shared" si="26"/>
        <v>0.58750999999999975</v>
      </c>
      <c r="N208" s="4">
        <f t="shared" si="27"/>
        <v>0.50215999999999972</v>
      </c>
      <c r="O208" s="5">
        <v>0.2</v>
      </c>
      <c r="P208" s="6"/>
      <c r="Q208" s="6"/>
      <c r="R208" s="23" t="s">
        <v>279</v>
      </c>
      <c r="S208" s="24" t="s">
        <v>417</v>
      </c>
    </row>
    <row r="209" spans="1:19" x14ac:dyDescent="0.3">
      <c r="A209" s="26" t="str">
        <f t="shared" si="21"/>
        <v>01</v>
      </c>
      <c r="B209" s="27" t="s">
        <v>280</v>
      </c>
      <c r="C209" s="28" t="s">
        <v>281</v>
      </c>
      <c r="D209" s="28">
        <v>94012000</v>
      </c>
      <c r="E209" s="29">
        <v>43592</v>
      </c>
      <c r="F209" s="29">
        <v>44682</v>
      </c>
      <c r="G209" s="13">
        <v>0.71779999999999999</v>
      </c>
      <c r="H209" s="13">
        <f t="shared" si="22"/>
        <v>1.011082926829268</v>
      </c>
      <c r="I209" s="13">
        <f t="shared" si="23"/>
        <v>0.94823658536585342</v>
      </c>
      <c r="J209" s="13">
        <f t="shared" si="24"/>
        <v>0.843492682926829</v>
      </c>
      <c r="K209" s="13">
        <v>0.36559999999999998</v>
      </c>
      <c r="L209" s="13">
        <f t="shared" si="25"/>
        <v>0.5987512195121949</v>
      </c>
      <c r="M209" s="13">
        <f t="shared" si="26"/>
        <v>0.54879024390243858</v>
      </c>
      <c r="N209" s="13">
        <f t="shared" si="27"/>
        <v>0.4655219512195119</v>
      </c>
      <c r="O209" s="14">
        <v>0.18</v>
      </c>
      <c r="P209" s="15"/>
      <c r="Q209" s="15"/>
      <c r="R209" s="30" t="s">
        <v>282</v>
      </c>
      <c r="S209" s="31" t="s">
        <v>415</v>
      </c>
    </row>
    <row r="210" spans="1:19" x14ac:dyDescent="0.3">
      <c r="A210" s="26" t="str">
        <f t="shared" si="21"/>
        <v>01</v>
      </c>
      <c r="B210" s="27" t="s">
        <v>280</v>
      </c>
      <c r="C210" s="28" t="s">
        <v>281</v>
      </c>
      <c r="D210" s="28">
        <v>94012000</v>
      </c>
      <c r="E210" s="29">
        <v>44683</v>
      </c>
      <c r="F210" s="22">
        <v>45291</v>
      </c>
      <c r="G210" s="13">
        <v>0.71779999999999999</v>
      </c>
      <c r="H210" s="13">
        <f t="shared" si="22"/>
        <v>1.011082926829268</v>
      </c>
      <c r="I210" s="13">
        <f t="shared" si="23"/>
        <v>0.94823658536585342</v>
      </c>
      <c r="J210" s="13">
        <f t="shared" si="24"/>
        <v>0.843492682926829</v>
      </c>
      <c r="K210" s="13">
        <v>0.36559999999999998</v>
      </c>
      <c r="L210" s="13">
        <f t="shared" si="25"/>
        <v>0.5987512195121949</v>
      </c>
      <c r="M210" s="13">
        <f t="shared" si="26"/>
        <v>0.54879024390243858</v>
      </c>
      <c r="N210" s="13">
        <f t="shared" si="27"/>
        <v>0.4655219512195119</v>
      </c>
      <c r="O210" s="14">
        <v>0.18</v>
      </c>
      <c r="P210" s="15"/>
      <c r="Q210" s="15"/>
      <c r="R210" s="30" t="s">
        <v>282</v>
      </c>
      <c r="S210" s="31" t="s">
        <v>416</v>
      </c>
    </row>
    <row r="211" spans="1:19" x14ac:dyDescent="0.3">
      <c r="A211" s="26" t="str">
        <f t="shared" si="21"/>
        <v>01</v>
      </c>
      <c r="B211" s="27" t="s">
        <v>280</v>
      </c>
      <c r="C211" s="28" t="s">
        <v>281</v>
      </c>
      <c r="D211" s="28">
        <v>94012000</v>
      </c>
      <c r="E211" s="22">
        <v>45292</v>
      </c>
      <c r="F211" s="28"/>
      <c r="G211" s="13">
        <v>0.71779999999999999</v>
      </c>
      <c r="H211" s="13">
        <f t="shared" si="22"/>
        <v>1.0613599999999996</v>
      </c>
      <c r="I211" s="13">
        <f t="shared" si="23"/>
        <v>0.99694249999999984</v>
      </c>
      <c r="J211" s="13">
        <f t="shared" si="24"/>
        <v>0.88957999999999982</v>
      </c>
      <c r="K211" s="13">
        <v>0.36559999999999998</v>
      </c>
      <c r="L211" s="13">
        <f t="shared" si="25"/>
        <v>0.63871999999999973</v>
      </c>
      <c r="M211" s="13">
        <f t="shared" si="26"/>
        <v>0.58750999999999975</v>
      </c>
      <c r="N211" s="13">
        <f t="shared" si="27"/>
        <v>0.50215999999999972</v>
      </c>
      <c r="O211" s="5">
        <v>0.2</v>
      </c>
      <c r="P211" s="15"/>
      <c r="Q211" s="15"/>
      <c r="R211" s="30" t="s">
        <v>282</v>
      </c>
      <c r="S211" s="24" t="s">
        <v>417</v>
      </c>
    </row>
    <row r="212" spans="1:19" x14ac:dyDescent="0.3">
      <c r="A212" s="26" t="str">
        <f t="shared" si="21"/>
        <v>01</v>
      </c>
      <c r="B212" s="27" t="s">
        <v>280</v>
      </c>
      <c r="C212" s="28" t="s">
        <v>281</v>
      </c>
      <c r="D212" s="28">
        <v>94019090</v>
      </c>
      <c r="E212" s="29">
        <v>43592</v>
      </c>
      <c r="F212" s="29">
        <v>44682</v>
      </c>
      <c r="G212" s="13">
        <v>0.71779999999999999</v>
      </c>
      <c r="H212" s="13">
        <f t="shared" si="22"/>
        <v>1.011082926829268</v>
      </c>
      <c r="I212" s="13">
        <f t="shared" si="23"/>
        <v>0.94823658536585342</v>
      </c>
      <c r="J212" s="13">
        <f t="shared" si="24"/>
        <v>0.843492682926829</v>
      </c>
      <c r="K212" s="13">
        <v>0.36559999999999998</v>
      </c>
      <c r="L212" s="13">
        <f t="shared" si="25"/>
        <v>0.5987512195121949</v>
      </c>
      <c r="M212" s="13">
        <f t="shared" si="26"/>
        <v>0.54879024390243858</v>
      </c>
      <c r="N212" s="13">
        <f t="shared" si="27"/>
        <v>0.4655219512195119</v>
      </c>
      <c r="O212" s="14">
        <v>0.18</v>
      </c>
      <c r="P212" s="15"/>
      <c r="Q212" s="15"/>
      <c r="R212" s="30" t="s">
        <v>282</v>
      </c>
      <c r="S212" s="31" t="s">
        <v>415</v>
      </c>
    </row>
    <row r="213" spans="1:19" x14ac:dyDescent="0.3">
      <c r="A213" s="26" t="str">
        <f t="shared" si="21"/>
        <v>01</v>
      </c>
      <c r="B213" s="27" t="s">
        <v>280</v>
      </c>
      <c r="C213" s="28" t="s">
        <v>281</v>
      </c>
      <c r="D213" s="28">
        <v>94019900</v>
      </c>
      <c r="E213" s="29">
        <v>44683</v>
      </c>
      <c r="F213" s="22">
        <v>45291</v>
      </c>
      <c r="G213" s="13">
        <v>0.71779999999999999</v>
      </c>
      <c r="H213" s="13">
        <f t="shared" si="22"/>
        <v>1.011082926829268</v>
      </c>
      <c r="I213" s="13">
        <f t="shared" si="23"/>
        <v>0.94823658536585342</v>
      </c>
      <c r="J213" s="13">
        <f t="shared" si="24"/>
        <v>0.843492682926829</v>
      </c>
      <c r="K213" s="13">
        <v>0.36559999999999998</v>
      </c>
      <c r="L213" s="13">
        <f t="shared" si="25"/>
        <v>0.5987512195121949</v>
      </c>
      <c r="M213" s="13">
        <f t="shared" si="26"/>
        <v>0.54879024390243858</v>
      </c>
      <c r="N213" s="13">
        <f t="shared" si="27"/>
        <v>0.4655219512195119</v>
      </c>
      <c r="O213" s="14">
        <v>0.18</v>
      </c>
      <c r="P213" s="15"/>
      <c r="Q213" s="15"/>
      <c r="R213" s="30" t="s">
        <v>282</v>
      </c>
      <c r="S213" s="31" t="s">
        <v>416</v>
      </c>
    </row>
    <row r="214" spans="1:19" x14ac:dyDescent="0.3">
      <c r="A214" s="26" t="str">
        <f t="shared" si="21"/>
        <v>01</v>
      </c>
      <c r="B214" s="27" t="s">
        <v>280</v>
      </c>
      <c r="C214" s="28" t="s">
        <v>281</v>
      </c>
      <c r="D214" s="28">
        <v>94019900</v>
      </c>
      <c r="E214" s="22">
        <v>45292</v>
      </c>
      <c r="F214" s="28"/>
      <c r="G214" s="13">
        <v>0.71779999999999999</v>
      </c>
      <c r="H214" s="13">
        <f t="shared" si="22"/>
        <v>1.0613599999999996</v>
      </c>
      <c r="I214" s="13">
        <f t="shared" si="23"/>
        <v>0.99694249999999984</v>
      </c>
      <c r="J214" s="13">
        <f t="shared" si="24"/>
        <v>0.88957999999999982</v>
      </c>
      <c r="K214" s="13">
        <v>0.36559999999999998</v>
      </c>
      <c r="L214" s="13">
        <f t="shared" si="25"/>
        <v>0.63871999999999973</v>
      </c>
      <c r="M214" s="13">
        <f t="shared" si="26"/>
        <v>0.58750999999999975</v>
      </c>
      <c r="N214" s="13">
        <f t="shared" si="27"/>
        <v>0.50215999999999972</v>
      </c>
      <c r="O214" s="5">
        <v>0.2</v>
      </c>
      <c r="P214" s="15"/>
      <c r="Q214" s="15"/>
      <c r="R214" s="30" t="s">
        <v>282</v>
      </c>
      <c r="S214" s="24" t="s">
        <v>417</v>
      </c>
    </row>
    <row r="215" spans="1:19" x14ac:dyDescent="0.3">
      <c r="A215" s="19" t="str">
        <f t="shared" si="21"/>
        <v>01</v>
      </c>
      <c r="B215" s="20" t="s">
        <v>283</v>
      </c>
      <c r="C215" s="21" t="s">
        <v>284</v>
      </c>
      <c r="D215" s="21">
        <v>96138000</v>
      </c>
      <c r="E215" s="22">
        <v>43592</v>
      </c>
      <c r="F215" s="22">
        <v>45291</v>
      </c>
      <c r="G215" s="4">
        <v>0.71779999999999999</v>
      </c>
      <c r="H215" s="4">
        <f t="shared" si="22"/>
        <v>1.011082926829268</v>
      </c>
      <c r="I215" s="4">
        <f t="shared" si="23"/>
        <v>0.94823658536585342</v>
      </c>
      <c r="J215" s="4">
        <f t="shared" si="24"/>
        <v>0.843492682926829</v>
      </c>
      <c r="K215" s="4">
        <v>0.36559999999999998</v>
      </c>
      <c r="L215" s="4">
        <f t="shared" si="25"/>
        <v>0.5987512195121949</v>
      </c>
      <c r="M215" s="4">
        <f t="shared" si="26"/>
        <v>0.54879024390243858</v>
      </c>
      <c r="N215" s="4">
        <f t="shared" si="27"/>
        <v>0.4655219512195119</v>
      </c>
      <c r="O215" s="5">
        <v>0.18</v>
      </c>
      <c r="P215" s="6"/>
      <c r="Q215" s="6"/>
      <c r="R215" s="23" t="s">
        <v>285</v>
      </c>
      <c r="S215" s="24" t="s">
        <v>22</v>
      </c>
    </row>
    <row r="216" spans="1:19" x14ac:dyDescent="0.3">
      <c r="A216" s="19" t="str">
        <f t="shared" si="21"/>
        <v>01</v>
      </c>
      <c r="B216" s="20" t="s">
        <v>283</v>
      </c>
      <c r="C216" s="21" t="s">
        <v>284</v>
      </c>
      <c r="D216" s="21">
        <v>96138000</v>
      </c>
      <c r="E216" s="22">
        <v>45292</v>
      </c>
      <c r="F216" s="21"/>
      <c r="G216" s="4">
        <v>0.71779999999999999</v>
      </c>
      <c r="H216" s="4">
        <f t="shared" si="22"/>
        <v>1.0613599999999996</v>
      </c>
      <c r="I216" s="4">
        <f t="shared" si="23"/>
        <v>0.99694249999999984</v>
      </c>
      <c r="J216" s="4">
        <f t="shared" si="24"/>
        <v>0.88957999999999982</v>
      </c>
      <c r="K216" s="4">
        <v>0.36559999999999998</v>
      </c>
      <c r="L216" s="4">
        <f t="shared" si="25"/>
        <v>0.63871999999999973</v>
      </c>
      <c r="M216" s="4">
        <f t="shared" si="26"/>
        <v>0.58750999999999975</v>
      </c>
      <c r="N216" s="4">
        <f t="shared" si="27"/>
        <v>0.50215999999999972</v>
      </c>
      <c r="O216" s="5">
        <v>0.2</v>
      </c>
      <c r="P216" s="6"/>
      <c r="Q216" s="6"/>
      <c r="R216" s="23" t="s">
        <v>285</v>
      </c>
      <c r="S216" s="24" t="s">
        <v>417</v>
      </c>
    </row>
    <row r="217" spans="1:19" x14ac:dyDescent="0.3">
      <c r="A217" s="19" t="str">
        <f t="shared" si="21"/>
        <v>01</v>
      </c>
      <c r="B217" s="20" t="s">
        <v>286</v>
      </c>
      <c r="C217" s="21" t="s">
        <v>287</v>
      </c>
      <c r="D217" s="21">
        <v>4009</v>
      </c>
      <c r="E217" s="22">
        <v>43592</v>
      </c>
      <c r="F217" s="22">
        <v>45291</v>
      </c>
      <c r="G217" s="4">
        <v>0.71779999999999999</v>
      </c>
      <c r="H217" s="4">
        <f t="shared" si="22"/>
        <v>1.011082926829268</v>
      </c>
      <c r="I217" s="4">
        <f t="shared" si="23"/>
        <v>0.94823658536585342</v>
      </c>
      <c r="J217" s="4">
        <f t="shared" si="24"/>
        <v>0.843492682926829</v>
      </c>
      <c r="K217" s="4">
        <v>0.36559999999999998</v>
      </c>
      <c r="L217" s="4">
        <f t="shared" si="25"/>
        <v>0.5987512195121949</v>
      </c>
      <c r="M217" s="4">
        <f t="shared" si="26"/>
        <v>0.54879024390243858</v>
      </c>
      <c r="N217" s="4">
        <f t="shared" si="27"/>
        <v>0.4655219512195119</v>
      </c>
      <c r="O217" s="5">
        <v>0.18</v>
      </c>
      <c r="P217" s="6"/>
      <c r="Q217" s="6"/>
      <c r="R217" s="23" t="s">
        <v>288</v>
      </c>
      <c r="S217" s="24" t="s">
        <v>22</v>
      </c>
    </row>
    <row r="218" spans="1:19" x14ac:dyDescent="0.3">
      <c r="A218" s="19" t="str">
        <f t="shared" si="21"/>
        <v>01</v>
      </c>
      <c r="B218" s="20" t="s">
        <v>286</v>
      </c>
      <c r="C218" s="21" t="s">
        <v>287</v>
      </c>
      <c r="D218" s="21">
        <v>4009</v>
      </c>
      <c r="E218" s="22">
        <v>45292</v>
      </c>
      <c r="F218" s="21"/>
      <c r="G218" s="4">
        <v>0.71779999999999999</v>
      </c>
      <c r="H218" s="4">
        <f t="shared" si="22"/>
        <v>1.0613599999999996</v>
      </c>
      <c r="I218" s="4">
        <f t="shared" si="23"/>
        <v>0.99694249999999984</v>
      </c>
      <c r="J218" s="4">
        <f t="shared" si="24"/>
        <v>0.88957999999999982</v>
      </c>
      <c r="K218" s="4">
        <v>0.36559999999999998</v>
      </c>
      <c r="L218" s="4">
        <f t="shared" si="25"/>
        <v>0.63871999999999973</v>
      </c>
      <c r="M218" s="4">
        <f t="shared" si="26"/>
        <v>0.58750999999999975</v>
      </c>
      <c r="N218" s="4">
        <f t="shared" si="27"/>
        <v>0.50215999999999972</v>
      </c>
      <c r="O218" s="5">
        <v>0.2</v>
      </c>
      <c r="P218" s="6"/>
      <c r="Q218" s="6"/>
      <c r="R218" s="23" t="s">
        <v>288</v>
      </c>
      <c r="S218" s="24" t="s">
        <v>417</v>
      </c>
    </row>
    <row r="219" spans="1:19" x14ac:dyDescent="0.3">
      <c r="A219" s="19" t="str">
        <f t="shared" si="21"/>
        <v>01</v>
      </c>
      <c r="B219" s="20" t="s">
        <v>289</v>
      </c>
      <c r="C219" s="21" t="s">
        <v>290</v>
      </c>
      <c r="D219" s="21">
        <v>45049000</v>
      </c>
      <c r="E219" s="22">
        <v>43592</v>
      </c>
      <c r="F219" s="22">
        <v>45291</v>
      </c>
      <c r="G219" s="4">
        <v>0.71779999999999999</v>
      </c>
      <c r="H219" s="4">
        <f t="shared" si="22"/>
        <v>1.011082926829268</v>
      </c>
      <c r="I219" s="4">
        <f t="shared" si="23"/>
        <v>0.94823658536585342</v>
      </c>
      <c r="J219" s="4">
        <f t="shared" si="24"/>
        <v>0.843492682926829</v>
      </c>
      <c r="K219" s="4">
        <v>0.36559999999999998</v>
      </c>
      <c r="L219" s="4">
        <f t="shared" si="25"/>
        <v>0.5987512195121949</v>
      </c>
      <c r="M219" s="4">
        <f t="shared" si="26"/>
        <v>0.54879024390243858</v>
      </c>
      <c r="N219" s="4">
        <f t="shared" si="27"/>
        <v>0.4655219512195119</v>
      </c>
      <c r="O219" s="5">
        <v>0.18</v>
      </c>
      <c r="P219" s="6"/>
      <c r="Q219" s="6"/>
      <c r="R219" s="23" t="s">
        <v>291</v>
      </c>
      <c r="S219" s="24" t="s">
        <v>22</v>
      </c>
    </row>
    <row r="220" spans="1:19" x14ac:dyDescent="0.3">
      <c r="A220" s="19" t="str">
        <f t="shared" si="21"/>
        <v>01</v>
      </c>
      <c r="B220" s="20" t="s">
        <v>289</v>
      </c>
      <c r="C220" s="21" t="s">
        <v>290</v>
      </c>
      <c r="D220" s="21">
        <v>45049000</v>
      </c>
      <c r="E220" s="22">
        <v>45292</v>
      </c>
      <c r="F220" s="21"/>
      <c r="G220" s="4">
        <v>0.71779999999999999</v>
      </c>
      <c r="H220" s="4">
        <f t="shared" si="22"/>
        <v>1.0613599999999996</v>
      </c>
      <c r="I220" s="4">
        <f t="shared" si="23"/>
        <v>0.99694249999999984</v>
      </c>
      <c r="J220" s="4">
        <f t="shared" si="24"/>
        <v>0.88957999999999982</v>
      </c>
      <c r="K220" s="4">
        <v>0.36559999999999998</v>
      </c>
      <c r="L220" s="4">
        <f t="shared" si="25"/>
        <v>0.63871999999999973</v>
      </c>
      <c r="M220" s="4">
        <f t="shared" si="26"/>
        <v>0.58750999999999975</v>
      </c>
      <c r="N220" s="4">
        <f t="shared" si="27"/>
        <v>0.50215999999999972</v>
      </c>
      <c r="O220" s="5">
        <v>0.2</v>
      </c>
      <c r="P220" s="6"/>
      <c r="Q220" s="6"/>
      <c r="R220" s="23" t="s">
        <v>291</v>
      </c>
      <c r="S220" s="24" t="s">
        <v>417</v>
      </c>
    </row>
    <row r="221" spans="1:19" x14ac:dyDescent="0.3">
      <c r="A221" s="19" t="str">
        <f t="shared" si="21"/>
        <v>01</v>
      </c>
      <c r="B221" s="20" t="s">
        <v>289</v>
      </c>
      <c r="C221" s="21" t="s">
        <v>290</v>
      </c>
      <c r="D221" s="21">
        <v>68129910</v>
      </c>
      <c r="E221" s="22">
        <v>43592</v>
      </c>
      <c r="F221" s="22">
        <v>45291</v>
      </c>
      <c r="G221" s="4">
        <v>0.71779999999999999</v>
      </c>
      <c r="H221" s="4">
        <f t="shared" si="22"/>
        <v>1.011082926829268</v>
      </c>
      <c r="I221" s="4">
        <f t="shared" si="23"/>
        <v>0.94823658536585342</v>
      </c>
      <c r="J221" s="4">
        <f t="shared" si="24"/>
        <v>0.843492682926829</v>
      </c>
      <c r="K221" s="4">
        <v>0.36559999999999998</v>
      </c>
      <c r="L221" s="4">
        <f t="shared" si="25"/>
        <v>0.5987512195121949</v>
      </c>
      <c r="M221" s="4">
        <f t="shared" si="26"/>
        <v>0.54879024390243858</v>
      </c>
      <c r="N221" s="4">
        <f t="shared" si="27"/>
        <v>0.4655219512195119</v>
      </c>
      <c r="O221" s="5">
        <v>0.18</v>
      </c>
      <c r="P221" s="6"/>
      <c r="Q221" s="6"/>
      <c r="R221" s="23" t="s">
        <v>291</v>
      </c>
      <c r="S221" s="24" t="s">
        <v>22</v>
      </c>
    </row>
    <row r="222" spans="1:19" x14ac:dyDescent="0.3">
      <c r="A222" s="19" t="str">
        <f t="shared" si="21"/>
        <v>01</v>
      </c>
      <c r="B222" s="20" t="s">
        <v>289</v>
      </c>
      <c r="C222" s="21" t="s">
        <v>290</v>
      </c>
      <c r="D222" s="21">
        <v>68129910</v>
      </c>
      <c r="E222" s="22">
        <v>45292</v>
      </c>
      <c r="F222" s="21"/>
      <c r="G222" s="4">
        <v>0.71779999999999999</v>
      </c>
      <c r="H222" s="4">
        <f t="shared" si="22"/>
        <v>1.0613599999999996</v>
      </c>
      <c r="I222" s="4">
        <f t="shared" si="23"/>
        <v>0.99694249999999984</v>
      </c>
      <c r="J222" s="4">
        <f t="shared" si="24"/>
        <v>0.88957999999999982</v>
      </c>
      <c r="K222" s="4">
        <v>0.36559999999999998</v>
      </c>
      <c r="L222" s="4">
        <f t="shared" si="25"/>
        <v>0.63871999999999973</v>
      </c>
      <c r="M222" s="4">
        <f t="shared" si="26"/>
        <v>0.58750999999999975</v>
      </c>
      <c r="N222" s="4">
        <f t="shared" si="27"/>
        <v>0.50215999999999972</v>
      </c>
      <c r="O222" s="5">
        <v>0.2</v>
      </c>
      <c r="P222" s="6"/>
      <c r="Q222" s="6"/>
      <c r="R222" s="23" t="s">
        <v>291</v>
      </c>
      <c r="S222" s="24" t="s">
        <v>417</v>
      </c>
    </row>
    <row r="223" spans="1:19" x14ac:dyDescent="0.3">
      <c r="A223" s="19" t="str">
        <f t="shared" si="21"/>
        <v>01</v>
      </c>
      <c r="B223" s="20" t="s">
        <v>292</v>
      </c>
      <c r="C223" s="21" t="s">
        <v>293</v>
      </c>
      <c r="D223" s="21">
        <v>48234000</v>
      </c>
      <c r="E223" s="22">
        <v>43592</v>
      </c>
      <c r="F223" s="22">
        <v>45291</v>
      </c>
      <c r="G223" s="4">
        <v>0.71779999999999999</v>
      </c>
      <c r="H223" s="4">
        <f t="shared" si="22"/>
        <v>1.011082926829268</v>
      </c>
      <c r="I223" s="4">
        <f t="shared" si="23"/>
        <v>0.94823658536585342</v>
      </c>
      <c r="J223" s="4">
        <f t="shared" si="24"/>
        <v>0.843492682926829</v>
      </c>
      <c r="K223" s="4">
        <v>0.36559999999999998</v>
      </c>
      <c r="L223" s="4">
        <f t="shared" si="25"/>
        <v>0.5987512195121949</v>
      </c>
      <c r="M223" s="4">
        <f t="shared" si="26"/>
        <v>0.54879024390243858</v>
      </c>
      <c r="N223" s="4">
        <f t="shared" si="27"/>
        <v>0.4655219512195119</v>
      </c>
      <c r="O223" s="5">
        <v>0.18</v>
      </c>
      <c r="P223" s="6"/>
      <c r="Q223" s="6"/>
      <c r="R223" s="23" t="s">
        <v>294</v>
      </c>
      <c r="S223" s="24" t="s">
        <v>22</v>
      </c>
    </row>
    <row r="224" spans="1:19" x14ac:dyDescent="0.3">
      <c r="A224" s="19" t="str">
        <f t="shared" si="21"/>
        <v>01</v>
      </c>
      <c r="B224" s="20" t="s">
        <v>292</v>
      </c>
      <c r="C224" s="21" t="s">
        <v>293</v>
      </c>
      <c r="D224" s="21">
        <v>48234000</v>
      </c>
      <c r="E224" s="22">
        <v>45292</v>
      </c>
      <c r="F224" s="21"/>
      <c r="G224" s="4">
        <v>0.71779999999999999</v>
      </c>
      <c r="H224" s="4">
        <f t="shared" si="22"/>
        <v>1.0613599999999996</v>
      </c>
      <c r="I224" s="4">
        <f t="shared" si="23"/>
        <v>0.99694249999999984</v>
      </c>
      <c r="J224" s="4">
        <f t="shared" si="24"/>
        <v>0.88957999999999982</v>
      </c>
      <c r="K224" s="4">
        <v>0.36559999999999998</v>
      </c>
      <c r="L224" s="4">
        <f t="shared" si="25"/>
        <v>0.63871999999999973</v>
      </c>
      <c r="M224" s="4">
        <f t="shared" si="26"/>
        <v>0.58750999999999975</v>
      </c>
      <c r="N224" s="4">
        <f t="shared" si="27"/>
        <v>0.50215999999999972</v>
      </c>
      <c r="O224" s="5">
        <v>0.2</v>
      </c>
      <c r="P224" s="6"/>
      <c r="Q224" s="6"/>
      <c r="R224" s="23" t="s">
        <v>294</v>
      </c>
      <c r="S224" s="24" t="s">
        <v>417</v>
      </c>
    </row>
    <row r="225" spans="1:19" x14ac:dyDescent="0.3">
      <c r="A225" s="26" t="str">
        <f t="shared" si="21"/>
        <v>01</v>
      </c>
      <c r="B225" s="27" t="s">
        <v>295</v>
      </c>
      <c r="C225" s="28" t="s">
        <v>296</v>
      </c>
      <c r="D225" s="28">
        <v>391910</v>
      </c>
      <c r="E225" s="29">
        <v>44683</v>
      </c>
      <c r="F225" s="22">
        <v>45291</v>
      </c>
      <c r="G225" s="13">
        <v>0.71779999999999999</v>
      </c>
      <c r="H225" s="13">
        <f t="shared" si="22"/>
        <v>1.011082926829268</v>
      </c>
      <c r="I225" s="13">
        <f t="shared" si="23"/>
        <v>0.94823658536585342</v>
      </c>
      <c r="J225" s="13">
        <f t="shared" si="24"/>
        <v>0.843492682926829</v>
      </c>
      <c r="K225" s="13">
        <v>0.36559999999999998</v>
      </c>
      <c r="L225" s="13">
        <f t="shared" si="25"/>
        <v>0.5987512195121949</v>
      </c>
      <c r="M225" s="13">
        <f t="shared" si="26"/>
        <v>0.54879024390243858</v>
      </c>
      <c r="N225" s="13">
        <f t="shared" si="27"/>
        <v>0.4655219512195119</v>
      </c>
      <c r="O225" s="14">
        <v>0.18</v>
      </c>
      <c r="P225" s="15"/>
      <c r="Q225" s="15"/>
      <c r="R225" s="30" t="s">
        <v>297</v>
      </c>
      <c r="S225" s="31" t="s">
        <v>416</v>
      </c>
    </row>
    <row r="226" spans="1:19" x14ac:dyDescent="0.3">
      <c r="A226" s="26" t="str">
        <f t="shared" si="21"/>
        <v>01</v>
      </c>
      <c r="B226" s="27" t="s">
        <v>295</v>
      </c>
      <c r="C226" s="28" t="s">
        <v>296</v>
      </c>
      <c r="D226" s="28">
        <v>391910</v>
      </c>
      <c r="E226" s="22">
        <v>45292</v>
      </c>
      <c r="F226" s="28"/>
      <c r="G226" s="13">
        <v>0.71779999999999999</v>
      </c>
      <c r="H226" s="13">
        <f t="shared" si="22"/>
        <v>1.0613599999999996</v>
      </c>
      <c r="I226" s="13">
        <f t="shared" si="23"/>
        <v>0.99694249999999984</v>
      </c>
      <c r="J226" s="13">
        <f t="shared" si="24"/>
        <v>0.88957999999999982</v>
      </c>
      <c r="K226" s="13">
        <v>0.36559999999999998</v>
      </c>
      <c r="L226" s="13">
        <f t="shared" si="25"/>
        <v>0.63871999999999973</v>
      </c>
      <c r="M226" s="13">
        <f t="shared" si="26"/>
        <v>0.58750999999999975</v>
      </c>
      <c r="N226" s="13">
        <f t="shared" si="27"/>
        <v>0.50215999999999972</v>
      </c>
      <c r="O226" s="5">
        <v>0.2</v>
      </c>
      <c r="P226" s="15"/>
      <c r="Q226" s="15"/>
      <c r="R226" s="30" t="s">
        <v>297</v>
      </c>
      <c r="S226" s="24" t="s">
        <v>417</v>
      </c>
    </row>
    <row r="227" spans="1:19" x14ac:dyDescent="0.3">
      <c r="A227" s="26" t="str">
        <f t="shared" si="21"/>
        <v>01</v>
      </c>
      <c r="B227" s="27" t="s">
        <v>295</v>
      </c>
      <c r="C227" s="28" t="s">
        <v>296</v>
      </c>
      <c r="D227" s="28">
        <v>391990</v>
      </c>
      <c r="E227" s="29">
        <v>44683</v>
      </c>
      <c r="F227" s="22">
        <v>45291</v>
      </c>
      <c r="G227" s="13">
        <v>0.71779999999999999</v>
      </c>
      <c r="H227" s="13">
        <f t="shared" si="22"/>
        <v>1.011082926829268</v>
      </c>
      <c r="I227" s="13">
        <f t="shared" si="23"/>
        <v>0.94823658536585342</v>
      </c>
      <c r="J227" s="13">
        <f t="shared" si="24"/>
        <v>0.843492682926829</v>
      </c>
      <c r="K227" s="13">
        <v>0.36559999999999998</v>
      </c>
      <c r="L227" s="13">
        <f t="shared" si="25"/>
        <v>0.5987512195121949</v>
      </c>
      <c r="M227" s="13">
        <f t="shared" si="26"/>
        <v>0.54879024390243858</v>
      </c>
      <c r="N227" s="13">
        <f t="shared" si="27"/>
        <v>0.4655219512195119</v>
      </c>
      <c r="O227" s="14">
        <v>0.18</v>
      </c>
      <c r="P227" s="15"/>
      <c r="Q227" s="15"/>
      <c r="R227" s="30" t="s">
        <v>297</v>
      </c>
      <c r="S227" s="31" t="s">
        <v>416</v>
      </c>
    </row>
    <row r="228" spans="1:19" x14ac:dyDescent="0.3">
      <c r="A228" s="26" t="str">
        <f t="shared" si="21"/>
        <v>01</v>
      </c>
      <c r="B228" s="27" t="s">
        <v>295</v>
      </c>
      <c r="C228" s="28" t="s">
        <v>296</v>
      </c>
      <c r="D228" s="28">
        <v>391990</v>
      </c>
      <c r="E228" s="22">
        <v>45292</v>
      </c>
      <c r="F228" s="28"/>
      <c r="G228" s="13">
        <v>0.71779999999999999</v>
      </c>
      <c r="H228" s="13">
        <f t="shared" si="22"/>
        <v>1.0613599999999996</v>
      </c>
      <c r="I228" s="13">
        <f t="shared" si="23"/>
        <v>0.99694249999999984</v>
      </c>
      <c r="J228" s="13">
        <f t="shared" si="24"/>
        <v>0.88957999999999982</v>
      </c>
      <c r="K228" s="13">
        <v>0.36559999999999998</v>
      </c>
      <c r="L228" s="13">
        <f t="shared" si="25"/>
        <v>0.63871999999999973</v>
      </c>
      <c r="M228" s="13">
        <f t="shared" si="26"/>
        <v>0.58750999999999975</v>
      </c>
      <c r="N228" s="13">
        <f t="shared" si="27"/>
        <v>0.50215999999999972</v>
      </c>
      <c r="O228" s="5">
        <v>0.2</v>
      </c>
      <c r="P228" s="15"/>
      <c r="Q228" s="15"/>
      <c r="R228" s="30" t="s">
        <v>297</v>
      </c>
      <c r="S228" s="24" t="s">
        <v>417</v>
      </c>
    </row>
    <row r="229" spans="1:19" x14ac:dyDescent="0.3">
      <c r="A229" s="26" t="str">
        <f t="shared" si="21"/>
        <v>01</v>
      </c>
      <c r="B229" s="27" t="s">
        <v>295</v>
      </c>
      <c r="C229" s="28" t="s">
        <v>296</v>
      </c>
      <c r="D229" s="28">
        <v>39191000</v>
      </c>
      <c r="E229" s="29">
        <v>43592</v>
      </c>
      <c r="F229" s="29">
        <v>44682</v>
      </c>
      <c r="G229" s="13">
        <v>0.71779999999999999</v>
      </c>
      <c r="H229" s="13">
        <f t="shared" si="22"/>
        <v>1.011082926829268</v>
      </c>
      <c r="I229" s="13">
        <f t="shared" si="23"/>
        <v>0.94823658536585342</v>
      </c>
      <c r="J229" s="13">
        <f t="shared" si="24"/>
        <v>0.843492682926829</v>
      </c>
      <c r="K229" s="13">
        <v>0.36559999999999998</v>
      </c>
      <c r="L229" s="13">
        <f t="shared" si="25"/>
        <v>0.5987512195121949</v>
      </c>
      <c r="M229" s="13">
        <f t="shared" si="26"/>
        <v>0.54879024390243858</v>
      </c>
      <c r="N229" s="13">
        <f t="shared" si="27"/>
        <v>0.4655219512195119</v>
      </c>
      <c r="O229" s="14">
        <v>0.18</v>
      </c>
      <c r="P229" s="15"/>
      <c r="Q229" s="15"/>
      <c r="R229" s="30" t="s">
        <v>297</v>
      </c>
      <c r="S229" s="31" t="s">
        <v>415</v>
      </c>
    </row>
    <row r="230" spans="1:19" x14ac:dyDescent="0.3">
      <c r="A230" s="26" t="str">
        <f t="shared" si="21"/>
        <v>01</v>
      </c>
      <c r="B230" s="27" t="s">
        <v>295</v>
      </c>
      <c r="C230" s="28" t="s">
        <v>296</v>
      </c>
      <c r="D230" s="28">
        <v>39199000</v>
      </c>
      <c r="E230" s="29">
        <v>43592</v>
      </c>
      <c r="F230" s="29">
        <v>44682</v>
      </c>
      <c r="G230" s="13">
        <v>0.71779999999999999</v>
      </c>
      <c r="H230" s="13">
        <f t="shared" si="22"/>
        <v>1.011082926829268</v>
      </c>
      <c r="I230" s="13">
        <f t="shared" si="23"/>
        <v>0.94823658536585342</v>
      </c>
      <c r="J230" s="13">
        <f t="shared" si="24"/>
        <v>0.843492682926829</v>
      </c>
      <c r="K230" s="13">
        <v>0.36559999999999998</v>
      </c>
      <c r="L230" s="13">
        <f t="shared" si="25"/>
        <v>0.5987512195121949</v>
      </c>
      <c r="M230" s="13">
        <f t="shared" si="26"/>
        <v>0.54879024390243858</v>
      </c>
      <c r="N230" s="13">
        <f t="shared" si="27"/>
        <v>0.4655219512195119</v>
      </c>
      <c r="O230" s="14">
        <v>0.18</v>
      </c>
      <c r="P230" s="15"/>
      <c r="Q230" s="15"/>
      <c r="R230" s="30" t="s">
        <v>297</v>
      </c>
      <c r="S230" s="31" t="s">
        <v>415</v>
      </c>
    </row>
    <row r="231" spans="1:19" x14ac:dyDescent="0.3">
      <c r="A231" s="26" t="str">
        <f t="shared" si="21"/>
        <v>01</v>
      </c>
      <c r="B231" s="27" t="s">
        <v>295</v>
      </c>
      <c r="C231" s="28" t="s">
        <v>296</v>
      </c>
      <c r="D231" s="28">
        <v>87082999</v>
      </c>
      <c r="E231" s="29">
        <v>43592</v>
      </c>
      <c r="F231" s="29">
        <v>44682</v>
      </c>
      <c r="G231" s="13">
        <v>0.71779999999999999</v>
      </c>
      <c r="H231" s="13">
        <f t="shared" si="22"/>
        <v>1.011082926829268</v>
      </c>
      <c r="I231" s="13">
        <f t="shared" si="23"/>
        <v>0.94823658536585342</v>
      </c>
      <c r="J231" s="13">
        <f t="shared" si="24"/>
        <v>0.843492682926829</v>
      </c>
      <c r="K231" s="13">
        <v>0.36559999999999998</v>
      </c>
      <c r="L231" s="13">
        <f t="shared" si="25"/>
        <v>0.5987512195121949</v>
      </c>
      <c r="M231" s="13">
        <f t="shared" si="26"/>
        <v>0.54879024390243858</v>
      </c>
      <c r="N231" s="13">
        <f t="shared" si="27"/>
        <v>0.4655219512195119</v>
      </c>
      <c r="O231" s="14">
        <v>0.18</v>
      </c>
      <c r="P231" s="15"/>
      <c r="Q231" s="15"/>
      <c r="R231" s="30" t="s">
        <v>297</v>
      </c>
      <c r="S231" s="31" t="s">
        <v>415</v>
      </c>
    </row>
    <row r="232" spans="1:19" x14ac:dyDescent="0.3">
      <c r="A232" s="26" t="str">
        <f t="shared" si="21"/>
        <v>01</v>
      </c>
      <c r="B232" s="27" t="s">
        <v>295</v>
      </c>
      <c r="C232" s="28" t="s">
        <v>296</v>
      </c>
      <c r="D232" s="28">
        <v>87082999</v>
      </c>
      <c r="E232" s="29">
        <v>44683</v>
      </c>
      <c r="F232" s="22">
        <v>45291</v>
      </c>
      <c r="G232" s="13">
        <v>0.71779999999999999</v>
      </c>
      <c r="H232" s="13">
        <f t="shared" si="22"/>
        <v>1.011082926829268</v>
      </c>
      <c r="I232" s="13">
        <f t="shared" si="23"/>
        <v>0.94823658536585342</v>
      </c>
      <c r="J232" s="13">
        <f t="shared" si="24"/>
        <v>0.843492682926829</v>
      </c>
      <c r="K232" s="13">
        <v>0.36559999999999998</v>
      </c>
      <c r="L232" s="13">
        <f t="shared" si="25"/>
        <v>0.5987512195121949</v>
      </c>
      <c r="M232" s="13">
        <f t="shared" si="26"/>
        <v>0.54879024390243858</v>
      </c>
      <c r="N232" s="13">
        <f t="shared" si="27"/>
        <v>0.4655219512195119</v>
      </c>
      <c r="O232" s="14">
        <v>0.18</v>
      </c>
      <c r="P232" s="15"/>
      <c r="Q232" s="15"/>
      <c r="R232" s="30" t="s">
        <v>297</v>
      </c>
      <c r="S232" s="31" t="s">
        <v>416</v>
      </c>
    </row>
    <row r="233" spans="1:19" x14ac:dyDescent="0.3">
      <c r="A233" s="26" t="str">
        <f t="shared" si="21"/>
        <v>01</v>
      </c>
      <c r="B233" s="27" t="s">
        <v>295</v>
      </c>
      <c r="C233" s="28" t="s">
        <v>296</v>
      </c>
      <c r="D233" s="28">
        <v>87082999</v>
      </c>
      <c r="E233" s="22">
        <v>45292</v>
      </c>
      <c r="F233" s="28"/>
      <c r="G233" s="13">
        <v>0.71779999999999999</v>
      </c>
      <c r="H233" s="13">
        <f t="shared" si="22"/>
        <v>1.0613599999999996</v>
      </c>
      <c r="I233" s="13">
        <f t="shared" si="23"/>
        <v>0.99694249999999984</v>
      </c>
      <c r="J233" s="13">
        <f t="shared" si="24"/>
        <v>0.88957999999999982</v>
      </c>
      <c r="K233" s="13">
        <v>0.36559999999999998</v>
      </c>
      <c r="L233" s="13">
        <f t="shared" si="25"/>
        <v>0.63871999999999973</v>
      </c>
      <c r="M233" s="13">
        <f t="shared" si="26"/>
        <v>0.58750999999999975</v>
      </c>
      <c r="N233" s="13">
        <f t="shared" si="27"/>
        <v>0.50215999999999972</v>
      </c>
      <c r="O233" s="5">
        <v>0.2</v>
      </c>
      <c r="P233" s="15"/>
      <c r="Q233" s="15"/>
      <c r="R233" s="30" t="s">
        <v>297</v>
      </c>
      <c r="S233" s="24" t="s">
        <v>417</v>
      </c>
    </row>
    <row r="234" spans="1:19" x14ac:dyDescent="0.3">
      <c r="A234" s="19" t="str">
        <f t="shared" si="21"/>
        <v>01</v>
      </c>
      <c r="B234" s="20" t="s">
        <v>298</v>
      </c>
      <c r="C234" s="21" t="s">
        <v>299</v>
      </c>
      <c r="D234" s="21">
        <v>84123110</v>
      </c>
      <c r="E234" s="22">
        <v>43592</v>
      </c>
      <c r="F234" s="22">
        <v>45291</v>
      </c>
      <c r="G234" s="4">
        <v>0.71779999999999999</v>
      </c>
      <c r="H234" s="4">
        <f t="shared" si="22"/>
        <v>1.011082926829268</v>
      </c>
      <c r="I234" s="4">
        <f t="shared" si="23"/>
        <v>0.94823658536585342</v>
      </c>
      <c r="J234" s="4">
        <f t="shared" si="24"/>
        <v>0.843492682926829</v>
      </c>
      <c r="K234" s="4">
        <v>0.36559999999999998</v>
      </c>
      <c r="L234" s="4">
        <f t="shared" si="25"/>
        <v>0.5987512195121949</v>
      </c>
      <c r="M234" s="4">
        <f t="shared" si="26"/>
        <v>0.54879024390243858</v>
      </c>
      <c r="N234" s="4">
        <f t="shared" si="27"/>
        <v>0.4655219512195119</v>
      </c>
      <c r="O234" s="5">
        <v>0.18</v>
      </c>
      <c r="P234" s="6"/>
      <c r="Q234" s="6"/>
      <c r="R234" s="23" t="s">
        <v>300</v>
      </c>
      <c r="S234" s="24" t="s">
        <v>22</v>
      </c>
    </row>
    <row r="235" spans="1:19" x14ac:dyDescent="0.3">
      <c r="A235" s="19" t="str">
        <f t="shared" si="21"/>
        <v>01</v>
      </c>
      <c r="B235" s="20" t="s">
        <v>298</v>
      </c>
      <c r="C235" s="21" t="s">
        <v>299</v>
      </c>
      <c r="D235" s="21">
        <v>84123110</v>
      </c>
      <c r="E235" s="22">
        <v>45292</v>
      </c>
      <c r="F235" s="21"/>
      <c r="G235" s="4">
        <v>0.71779999999999999</v>
      </c>
      <c r="H235" s="4">
        <f t="shared" si="22"/>
        <v>1.0613599999999996</v>
      </c>
      <c r="I235" s="4">
        <f t="shared" si="23"/>
        <v>0.99694249999999984</v>
      </c>
      <c r="J235" s="4">
        <f t="shared" si="24"/>
        <v>0.88957999999999982</v>
      </c>
      <c r="K235" s="4">
        <v>0.36559999999999998</v>
      </c>
      <c r="L235" s="4">
        <f t="shared" si="25"/>
        <v>0.63871999999999973</v>
      </c>
      <c r="M235" s="4">
        <f t="shared" si="26"/>
        <v>0.58750999999999975</v>
      </c>
      <c r="N235" s="4">
        <f t="shared" si="27"/>
        <v>0.50215999999999972</v>
      </c>
      <c r="O235" s="5">
        <v>0.2</v>
      </c>
      <c r="P235" s="6"/>
      <c r="Q235" s="6"/>
      <c r="R235" s="23" t="s">
        <v>300</v>
      </c>
      <c r="S235" s="24" t="s">
        <v>417</v>
      </c>
    </row>
    <row r="236" spans="1:19" x14ac:dyDescent="0.3">
      <c r="A236" s="19" t="str">
        <f t="shared" si="21"/>
        <v>01</v>
      </c>
      <c r="B236" s="20" t="s">
        <v>301</v>
      </c>
      <c r="C236" s="21" t="s">
        <v>302</v>
      </c>
      <c r="D236" s="21">
        <v>84131900</v>
      </c>
      <c r="E236" s="22">
        <v>43592</v>
      </c>
      <c r="F236" s="22">
        <v>45291</v>
      </c>
      <c r="G236" s="4">
        <v>0.71779999999999999</v>
      </c>
      <c r="H236" s="4">
        <f t="shared" si="22"/>
        <v>1.011082926829268</v>
      </c>
      <c r="I236" s="4">
        <f t="shared" si="23"/>
        <v>0.94823658536585342</v>
      </c>
      <c r="J236" s="4">
        <f t="shared" si="24"/>
        <v>0.843492682926829</v>
      </c>
      <c r="K236" s="4">
        <v>0.36559999999999998</v>
      </c>
      <c r="L236" s="4">
        <f t="shared" si="25"/>
        <v>0.5987512195121949</v>
      </c>
      <c r="M236" s="4">
        <f t="shared" si="26"/>
        <v>0.54879024390243858</v>
      </c>
      <c r="N236" s="4">
        <f t="shared" si="27"/>
        <v>0.4655219512195119</v>
      </c>
      <c r="O236" s="5">
        <v>0.18</v>
      </c>
      <c r="P236" s="6"/>
      <c r="Q236" s="6"/>
      <c r="R236" s="23" t="s">
        <v>303</v>
      </c>
      <c r="S236" s="24" t="s">
        <v>22</v>
      </c>
    </row>
    <row r="237" spans="1:19" x14ac:dyDescent="0.3">
      <c r="A237" s="19" t="str">
        <f t="shared" si="21"/>
        <v>01</v>
      </c>
      <c r="B237" s="20" t="s">
        <v>301</v>
      </c>
      <c r="C237" s="21" t="s">
        <v>302</v>
      </c>
      <c r="D237" s="21">
        <v>84131900</v>
      </c>
      <c r="E237" s="22">
        <v>45292</v>
      </c>
      <c r="F237" s="21"/>
      <c r="G237" s="4">
        <v>0.71779999999999999</v>
      </c>
      <c r="H237" s="4">
        <f t="shared" si="22"/>
        <v>1.0613599999999996</v>
      </c>
      <c r="I237" s="4">
        <f t="shared" si="23"/>
        <v>0.99694249999999984</v>
      </c>
      <c r="J237" s="4">
        <f t="shared" si="24"/>
        <v>0.88957999999999982</v>
      </c>
      <c r="K237" s="4">
        <v>0.36559999999999998</v>
      </c>
      <c r="L237" s="4">
        <f t="shared" si="25"/>
        <v>0.63871999999999973</v>
      </c>
      <c r="M237" s="4">
        <f t="shared" si="26"/>
        <v>0.58750999999999975</v>
      </c>
      <c r="N237" s="4">
        <f t="shared" si="27"/>
        <v>0.50215999999999972</v>
      </c>
      <c r="O237" s="5">
        <v>0.2</v>
      </c>
      <c r="P237" s="6"/>
      <c r="Q237" s="6"/>
      <c r="R237" s="23" t="s">
        <v>303</v>
      </c>
      <c r="S237" s="24" t="s">
        <v>417</v>
      </c>
    </row>
    <row r="238" spans="1:19" x14ac:dyDescent="0.3">
      <c r="A238" s="19" t="str">
        <f t="shared" si="21"/>
        <v>01</v>
      </c>
      <c r="B238" s="20" t="s">
        <v>301</v>
      </c>
      <c r="C238" s="21" t="s">
        <v>302</v>
      </c>
      <c r="D238" s="21">
        <v>84135090</v>
      </c>
      <c r="E238" s="22">
        <v>43592</v>
      </c>
      <c r="F238" s="22">
        <v>45291</v>
      </c>
      <c r="G238" s="4">
        <v>0.71779999999999999</v>
      </c>
      <c r="H238" s="4">
        <f t="shared" si="22"/>
        <v>1.011082926829268</v>
      </c>
      <c r="I238" s="4">
        <f t="shared" si="23"/>
        <v>0.94823658536585342</v>
      </c>
      <c r="J238" s="4">
        <f t="shared" si="24"/>
        <v>0.843492682926829</v>
      </c>
      <c r="K238" s="4">
        <v>0.36559999999999998</v>
      </c>
      <c r="L238" s="4">
        <f t="shared" si="25"/>
        <v>0.5987512195121949</v>
      </c>
      <c r="M238" s="4">
        <f t="shared" si="26"/>
        <v>0.54879024390243858</v>
      </c>
      <c r="N238" s="4">
        <f t="shared" si="27"/>
        <v>0.4655219512195119</v>
      </c>
      <c r="O238" s="5">
        <v>0.18</v>
      </c>
      <c r="P238" s="6"/>
      <c r="Q238" s="6"/>
      <c r="R238" s="23" t="s">
        <v>303</v>
      </c>
      <c r="S238" s="24" t="s">
        <v>22</v>
      </c>
    </row>
    <row r="239" spans="1:19" x14ac:dyDescent="0.3">
      <c r="A239" s="19" t="str">
        <f t="shared" si="21"/>
        <v>01</v>
      </c>
      <c r="B239" s="20" t="s">
        <v>301</v>
      </c>
      <c r="C239" s="21" t="s">
        <v>302</v>
      </c>
      <c r="D239" s="21">
        <v>84135090</v>
      </c>
      <c r="E239" s="22">
        <v>45292</v>
      </c>
      <c r="F239" s="21"/>
      <c r="G239" s="4">
        <v>0.71779999999999999</v>
      </c>
      <c r="H239" s="4">
        <f t="shared" si="22"/>
        <v>1.0613599999999996</v>
      </c>
      <c r="I239" s="4">
        <f t="shared" si="23"/>
        <v>0.99694249999999984</v>
      </c>
      <c r="J239" s="4">
        <f t="shared" si="24"/>
        <v>0.88957999999999982</v>
      </c>
      <c r="K239" s="4">
        <v>0.36559999999999998</v>
      </c>
      <c r="L239" s="4">
        <f t="shared" si="25"/>
        <v>0.63871999999999973</v>
      </c>
      <c r="M239" s="4">
        <f t="shared" si="26"/>
        <v>0.58750999999999975</v>
      </c>
      <c r="N239" s="4">
        <f t="shared" si="27"/>
        <v>0.50215999999999972</v>
      </c>
      <c r="O239" s="5">
        <v>0.2</v>
      </c>
      <c r="P239" s="6"/>
      <c r="Q239" s="6"/>
      <c r="R239" s="23" t="s">
        <v>303</v>
      </c>
      <c r="S239" s="24" t="s">
        <v>417</v>
      </c>
    </row>
    <row r="240" spans="1:19" x14ac:dyDescent="0.3">
      <c r="A240" s="19" t="str">
        <f t="shared" si="21"/>
        <v>01</v>
      </c>
      <c r="B240" s="20" t="s">
        <v>301</v>
      </c>
      <c r="C240" s="21" t="s">
        <v>302</v>
      </c>
      <c r="D240" s="21">
        <v>84138100</v>
      </c>
      <c r="E240" s="22">
        <v>43592</v>
      </c>
      <c r="F240" s="22">
        <v>45291</v>
      </c>
      <c r="G240" s="4">
        <v>0.71779999999999999</v>
      </c>
      <c r="H240" s="4">
        <f t="shared" si="22"/>
        <v>1.011082926829268</v>
      </c>
      <c r="I240" s="4">
        <f t="shared" si="23"/>
        <v>0.94823658536585342</v>
      </c>
      <c r="J240" s="4">
        <f t="shared" si="24"/>
        <v>0.843492682926829</v>
      </c>
      <c r="K240" s="4">
        <v>0.36559999999999998</v>
      </c>
      <c r="L240" s="4">
        <f t="shared" si="25"/>
        <v>0.5987512195121949</v>
      </c>
      <c r="M240" s="4">
        <f t="shared" si="26"/>
        <v>0.54879024390243858</v>
      </c>
      <c r="N240" s="4">
        <f t="shared" si="27"/>
        <v>0.4655219512195119</v>
      </c>
      <c r="O240" s="5">
        <v>0.18</v>
      </c>
      <c r="P240" s="6"/>
      <c r="Q240" s="6"/>
      <c r="R240" s="23" t="s">
        <v>303</v>
      </c>
      <c r="S240" s="24" t="s">
        <v>22</v>
      </c>
    </row>
    <row r="241" spans="1:19" x14ac:dyDescent="0.3">
      <c r="A241" s="19" t="str">
        <f t="shared" si="21"/>
        <v>01</v>
      </c>
      <c r="B241" s="20" t="s">
        <v>301</v>
      </c>
      <c r="C241" s="21" t="s">
        <v>302</v>
      </c>
      <c r="D241" s="21">
        <v>84138100</v>
      </c>
      <c r="E241" s="22">
        <v>45292</v>
      </c>
      <c r="F241" s="21"/>
      <c r="G241" s="4">
        <v>0.71779999999999999</v>
      </c>
      <c r="H241" s="4">
        <f t="shared" si="22"/>
        <v>1.0613599999999996</v>
      </c>
      <c r="I241" s="4">
        <f t="shared" si="23"/>
        <v>0.99694249999999984</v>
      </c>
      <c r="J241" s="4">
        <f t="shared" si="24"/>
        <v>0.88957999999999982</v>
      </c>
      <c r="K241" s="4">
        <v>0.36559999999999998</v>
      </c>
      <c r="L241" s="4">
        <f t="shared" si="25"/>
        <v>0.63871999999999973</v>
      </c>
      <c r="M241" s="4">
        <f t="shared" si="26"/>
        <v>0.58750999999999975</v>
      </c>
      <c r="N241" s="4">
        <f t="shared" si="27"/>
        <v>0.50215999999999972</v>
      </c>
      <c r="O241" s="5">
        <v>0.2</v>
      </c>
      <c r="P241" s="6"/>
      <c r="Q241" s="6"/>
      <c r="R241" s="23" t="s">
        <v>303</v>
      </c>
      <c r="S241" s="24" t="s">
        <v>417</v>
      </c>
    </row>
    <row r="242" spans="1:19" x14ac:dyDescent="0.3">
      <c r="A242" s="19" t="str">
        <f t="shared" si="21"/>
        <v>01</v>
      </c>
      <c r="B242" s="20" t="s">
        <v>304</v>
      </c>
      <c r="C242" s="21" t="s">
        <v>305</v>
      </c>
      <c r="D242" s="21">
        <v>84136019</v>
      </c>
      <c r="E242" s="22">
        <v>43592</v>
      </c>
      <c r="F242" s="22">
        <v>45291</v>
      </c>
      <c r="G242" s="4">
        <v>0.71779999999999999</v>
      </c>
      <c r="H242" s="4">
        <f t="shared" si="22"/>
        <v>1.011082926829268</v>
      </c>
      <c r="I242" s="4">
        <f t="shared" si="23"/>
        <v>0.94823658536585342</v>
      </c>
      <c r="J242" s="4">
        <f t="shared" si="24"/>
        <v>0.843492682926829</v>
      </c>
      <c r="K242" s="4">
        <v>0.36559999999999998</v>
      </c>
      <c r="L242" s="4">
        <f t="shared" si="25"/>
        <v>0.5987512195121949</v>
      </c>
      <c r="M242" s="4">
        <f t="shared" si="26"/>
        <v>0.54879024390243858</v>
      </c>
      <c r="N242" s="4">
        <f t="shared" si="27"/>
        <v>0.4655219512195119</v>
      </c>
      <c r="O242" s="5">
        <v>0.18</v>
      </c>
      <c r="P242" s="6"/>
      <c r="Q242" s="6"/>
      <c r="R242" s="23" t="s">
        <v>306</v>
      </c>
      <c r="S242" s="24" t="s">
        <v>22</v>
      </c>
    </row>
    <row r="243" spans="1:19" x14ac:dyDescent="0.3">
      <c r="A243" s="19" t="str">
        <f t="shared" si="21"/>
        <v>01</v>
      </c>
      <c r="B243" s="20" t="s">
        <v>304</v>
      </c>
      <c r="C243" s="21" t="s">
        <v>305</v>
      </c>
      <c r="D243" s="21">
        <v>84136019</v>
      </c>
      <c r="E243" s="22">
        <v>45292</v>
      </c>
      <c r="F243" s="21"/>
      <c r="G243" s="4">
        <v>0.71779999999999999</v>
      </c>
      <c r="H243" s="4">
        <f t="shared" si="22"/>
        <v>1.0613599999999996</v>
      </c>
      <c r="I243" s="4">
        <f t="shared" si="23"/>
        <v>0.99694249999999984</v>
      </c>
      <c r="J243" s="4">
        <f t="shared" si="24"/>
        <v>0.88957999999999982</v>
      </c>
      <c r="K243" s="4">
        <v>0.36559999999999998</v>
      </c>
      <c r="L243" s="4">
        <f t="shared" si="25"/>
        <v>0.63871999999999973</v>
      </c>
      <c r="M243" s="4">
        <f t="shared" si="26"/>
        <v>0.58750999999999975</v>
      </c>
      <c r="N243" s="4">
        <f t="shared" si="27"/>
        <v>0.50215999999999972</v>
      </c>
      <c r="O243" s="5">
        <v>0.2</v>
      </c>
      <c r="P243" s="6"/>
      <c r="Q243" s="6"/>
      <c r="R243" s="23" t="s">
        <v>306</v>
      </c>
      <c r="S243" s="24" t="s">
        <v>417</v>
      </c>
    </row>
    <row r="244" spans="1:19" x14ac:dyDescent="0.3">
      <c r="A244" s="19" t="str">
        <f t="shared" si="21"/>
        <v>01</v>
      </c>
      <c r="B244" s="20" t="s">
        <v>304</v>
      </c>
      <c r="C244" s="21" t="s">
        <v>305</v>
      </c>
      <c r="D244" s="21">
        <v>84137010</v>
      </c>
      <c r="E244" s="22">
        <v>43592</v>
      </c>
      <c r="F244" s="22">
        <v>45291</v>
      </c>
      <c r="G244" s="4">
        <v>0.71779999999999999</v>
      </c>
      <c r="H244" s="4">
        <f t="shared" si="22"/>
        <v>1.011082926829268</v>
      </c>
      <c r="I244" s="4">
        <f t="shared" si="23"/>
        <v>0.94823658536585342</v>
      </c>
      <c r="J244" s="4">
        <f t="shared" si="24"/>
        <v>0.843492682926829</v>
      </c>
      <c r="K244" s="4">
        <v>0.36559999999999998</v>
      </c>
      <c r="L244" s="4">
        <f t="shared" si="25"/>
        <v>0.5987512195121949</v>
      </c>
      <c r="M244" s="4">
        <f t="shared" si="26"/>
        <v>0.54879024390243858</v>
      </c>
      <c r="N244" s="4">
        <f t="shared" si="27"/>
        <v>0.4655219512195119</v>
      </c>
      <c r="O244" s="5">
        <v>0.18</v>
      </c>
      <c r="P244" s="6"/>
      <c r="Q244" s="6"/>
      <c r="R244" s="23" t="s">
        <v>306</v>
      </c>
      <c r="S244" s="24" t="s">
        <v>22</v>
      </c>
    </row>
    <row r="245" spans="1:19" x14ac:dyDescent="0.3">
      <c r="A245" s="19" t="str">
        <f t="shared" si="21"/>
        <v>01</v>
      </c>
      <c r="B245" s="20" t="s">
        <v>304</v>
      </c>
      <c r="C245" s="21" t="s">
        <v>305</v>
      </c>
      <c r="D245" s="21">
        <v>84137010</v>
      </c>
      <c r="E245" s="22">
        <v>45292</v>
      </c>
      <c r="F245" s="21"/>
      <c r="G245" s="4">
        <v>0.71779999999999999</v>
      </c>
      <c r="H245" s="4">
        <f t="shared" si="22"/>
        <v>1.0613599999999996</v>
      </c>
      <c r="I245" s="4">
        <f t="shared" si="23"/>
        <v>0.99694249999999984</v>
      </c>
      <c r="J245" s="4">
        <f t="shared" si="24"/>
        <v>0.88957999999999982</v>
      </c>
      <c r="K245" s="4">
        <v>0.36559999999999998</v>
      </c>
      <c r="L245" s="4">
        <f t="shared" si="25"/>
        <v>0.63871999999999973</v>
      </c>
      <c r="M245" s="4">
        <f t="shared" si="26"/>
        <v>0.58750999999999975</v>
      </c>
      <c r="N245" s="4">
        <f t="shared" si="27"/>
        <v>0.50215999999999972</v>
      </c>
      <c r="O245" s="5">
        <v>0.2</v>
      </c>
      <c r="P245" s="6"/>
      <c r="Q245" s="6"/>
      <c r="R245" s="23" t="s">
        <v>306</v>
      </c>
      <c r="S245" s="24" t="s">
        <v>417</v>
      </c>
    </row>
    <row r="246" spans="1:19" x14ac:dyDescent="0.3">
      <c r="A246" s="19" t="str">
        <f t="shared" si="21"/>
        <v>01</v>
      </c>
      <c r="B246" s="20" t="s">
        <v>307</v>
      </c>
      <c r="C246" s="21" t="s">
        <v>308</v>
      </c>
      <c r="D246" s="21">
        <v>84145910</v>
      </c>
      <c r="E246" s="22">
        <v>43592</v>
      </c>
      <c r="F246" s="22">
        <v>45291</v>
      </c>
      <c r="G246" s="4">
        <v>0.71779999999999999</v>
      </c>
      <c r="H246" s="4">
        <f t="shared" si="22"/>
        <v>1.011082926829268</v>
      </c>
      <c r="I246" s="4">
        <f t="shared" si="23"/>
        <v>0.94823658536585342</v>
      </c>
      <c r="J246" s="4">
        <f t="shared" si="24"/>
        <v>0.843492682926829</v>
      </c>
      <c r="K246" s="4">
        <v>0.36559999999999998</v>
      </c>
      <c r="L246" s="4">
        <f t="shared" si="25"/>
        <v>0.5987512195121949</v>
      </c>
      <c r="M246" s="4">
        <f t="shared" si="26"/>
        <v>0.54879024390243858</v>
      </c>
      <c r="N246" s="4">
        <f t="shared" si="27"/>
        <v>0.4655219512195119</v>
      </c>
      <c r="O246" s="5">
        <v>0.18</v>
      </c>
      <c r="P246" s="6"/>
      <c r="Q246" s="6"/>
      <c r="R246" s="23" t="s">
        <v>309</v>
      </c>
      <c r="S246" s="24" t="s">
        <v>22</v>
      </c>
    </row>
    <row r="247" spans="1:19" x14ac:dyDescent="0.3">
      <c r="A247" s="19" t="str">
        <f t="shared" si="21"/>
        <v>01</v>
      </c>
      <c r="B247" s="20" t="s">
        <v>307</v>
      </c>
      <c r="C247" s="21" t="s">
        <v>308</v>
      </c>
      <c r="D247" s="21">
        <v>84145910</v>
      </c>
      <c r="E247" s="22">
        <v>45292</v>
      </c>
      <c r="F247" s="21"/>
      <c r="G247" s="4">
        <v>0.71779999999999999</v>
      </c>
      <c r="H247" s="4">
        <f t="shared" si="22"/>
        <v>1.0613599999999996</v>
      </c>
      <c r="I247" s="4">
        <f t="shared" si="23"/>
        <v>0.99694249999999984</v>
      </c>
      <c r="J247" s="4">
        <f t="shared" si="24"/>
        <v>0.88957999999999982</v>
      </c>
      <c r="K247" s="4">
        <v>0.36559999999999998</v>
      </c>
      <c r="L247" s="4">
        <f t="shared" si="25"/>
        <v>0.63871999999999973</v>
      </c>
      <c r="M247" s="4">
        <f t="shared" si="26"/>
        <v>0.58750999999999975</v>
      </c>
      <c r="N247" s="4">
        <f t="shared" si="27"/>
        <v>0.50215999999999972</v>
      </c>
      <c r="O247" s="5">
        <v>0.2</v>
      </c>
      <c r="P247" s="6"/>
      <c r="Q247" s="6"/>
      <c r="R247" s="23" t="s">
        <v>309</v>
      </c>
      <c r="S247" s="24" t="s">
        <v>417</v>
      </c>
    </row>
    <row r="248" spans="1:19" x14ac:dyDescent="0.3">
      <c r="A248" s="19" t="str">
        <f t="shared" si="21"/>
        <v>01</v>
      </c>
      <c r="B248" s="20" t="s">
        <v>307</v>
      </c>
      <c r="C248" s="21" t="s">
        <v>308</v>
      </c>
      <c r="D248" s="21">
        <v>84145990</v>
      </c>
      <c r="E248" s="22">
        <v>43592</v>
      </c>
      <c r="F248" s="22">
        <v>45291</v>
      </c>
      <c r="G248" s="4">
        <v>0.71779999999999999</v>
      </c>
      <c r="H248" s="4">
        <f t="shared" si="22"/>
        <v>1.011082926829268</v>
      </c>
      <c r="I248" s="4">
        <f t="shared" si="23"/>
        <v>0.94823658536585342</v>
      </c>
      <c r="J248" s="4">
        <f t="shared" si="24"/>
        <v>0.843492682926829</v>
      </c>
      <c r="K248" s="4">
        <v>0.36559999999999998</v>
      </c>
      <c r="L248" s="4">
        <f t="shared" si="25"/>
        <v>0.5987512195121949</v>
      </c>
      <c r="M248" s="4">
        <f t="shared" si="26"/>
        <v>0.54879024390243858</v>
      </c>
      <c r="N248" s="4">
        <f t="shared" si="27"/>
        <v>0.4655219512195119</v>
      </c>
      <c r="O248" s="5">
        <v>0.18</v>
      </c>
      <c r="P248" s="6"/>
      <c r="Q248" s="6"/>
      <c r="R248" s="23" t="s">
        <v>309</v>
      </c>
      <c r="S248" s="24" t="s">
        <v>22</v>
      </c>
    </row>
    <row r="249" spans="1:19" x14ac:dyDescent="0.3">
      <c r="A249" s="19" t="str">
        <f t="shared" si="21"/>
        <v>01</v>
      </c>
      <c r="B249" s="20" t="s">
        <v>307</v>
      </c>
      <c r="C249" s="21" t="s">
        <v>308</v>
      </c>
      <c r="D249" s="21">
        <v>84145990</v>
      </c>
      <c r="E249" s="22">
        <v>45292</v>
      </c>
      <c r="F249" s="21"/>
      <c r="G249" s="4">
        <v>0.71779999999999999</v>
      </c>
      <c r="H249" s="4">
        <f t="shared" si="22"/>
        <v>1.0613599999999996</v>
      </c>
      <c r="I249" s="4">
        <f t="shared" si="23"/>
        <v>0.99694249999999984</v>
      </c>
      <c r="J249" s="4">
        <f t="shared" si="24"/>
        <v>0.88957999999999982</v>
      </c>
      <c r="K249" s="4">
        <v>0.36559999999999998</v>
      </c>
      <c r="L249" s="4">
        <f t="shared" si="25"/>
        <v>0.63871999999999973</v>
      </c>
      <c r="M249" s="4">
        <f t="shared" si="26"/>
        <v>0.58750999999999975</v>
      </c>
      <c r="N249" s="4">
        <f t="shared" si="27"/>
        <v>0.50215999999999972</v>
      </c>
      <c r="O249" s="5">
        <v>0.2</v>
      </c>
      <c r="P249" s="6"/>
      <c r="Q249" s="6"/>
      <c r="R249" s="23" t="s">
        <v>309</v>
      </c>
      <c r="S249" s="24" t="s">
        <v>417</v>
      </c>
    </row>
    <row r="250" spans="1:19" x14ac:dyDescent="0.3">
      <c r="A250" s="19" t="str">
        <f t="shared" si="21"/>
        <v>01</v>
      </c>
      <c r="B250" s="20" t="s">
        <v>310</v>
      </c>
      <c r="C250" s="21" t="s">
        <v>311</v>
      </c>
      <c r="D250" s="21">
        <v>84213990</v>
      </c>
      <c r="E250" s="22">
        <v>43592</v>
      </c>
      <c r="F250" s="22">
        <v>45291</v>
      </c>
      <c r="G250" s="4">
        <v>0.71779999999999999</v>
      </c>
      <c r="H250" s="4">
        <f t="shared" si="22"/>
        <v>1.011082926829268</v>
      </c>
      <c r="I250" s="4">
        <f t="shared" si="23"/>
        <v>0.94823658536585342</v>
      </c>
      <c r="J250" s="4">
        <f t="shared" si="24"/>
        <v>0.843492682926829</v>
      </c>
      <c r="K250" s="4">
        <v>0.36559999999999998</v>
      </c>
      <c r="L250" s="4">
        <f t="shared" si="25"/>
        <v>0.5987512195121949</v>
      </c>
      <c r="M250" s="4">
        <f t="shared" si="26"/>
        <v>0.54879024390243858</v>
      </c>
      <c r="N250" s="4">
        <f t="shared" si="27"/>
        <v>0.4655219512195119</v>
      </c>
      <c r="O250" s="5">
        <v>0.18</v>
      </c>
      <c r="P250" s="6"/>
      <c r="Q250" s="6"/>
      <c r="R250" s="23" t="s">
        <v>312</v>
      </c>
      <c r="S250" s="24" t="s">
        <v>22</v>
      </c>
    </row>
    <row r="251" spans="1:19" x14ac:dyDescent="0.3">
      <c r="A251" s="19" t="str">
        <f t="shared" si="21"/>
        <v>01</v>
      </c>
      <c r="B251" s="20" t="s">
        <v>310</v>
      </c>
      <c r="C251" s="21" t="s">
        <v>311</v>
      </c>
      <c r="D251" s="21">
        <v>84213990</v>
      </c>
      <c r="E251" s="22">
        <v>45292</v>
      </c>
      <c r="F251" s="21"/>
      <c r="G251" s="4">
        <v>0.71779999999999999</v>
      </c>
      <c r="H251" s="4">
        <f t="shared" si="22"/>
        <v>1.0613599999999996</v>
      </c>
      <c r="I251" s="4">
        <f t="shared" si="23"/>
        <v>0.99694249999999984</v>
      </c>
      <c r="J251" s="4">
        <f t="shared" si="24"/>
        <v>0.88957999999999982</v>
      </c>
      <c r="K251" s="4">
        <v>0.36559999999999998</v>
      </c>
      <c r="L251" s="4">
        <f t="shared" si="25"/>
        <v>0.63871999999999973</v>
      </c>
      <c r="M251" s="4">
        <f t="shared" si="26"/>
        <v>0.58750999999999975</v>
      </c>
      <c r="N251" s="4">
        <f t="shared" si="27"/>
        <v>0.50215999999999972</v>
      </c>
      <c r="O251" s="5">
        <v>0.2</v>
      </c>
      <c r="P251" s="6"/>
      <c r="Q251" s="6"/>
      <c r="R251" s="23" t="s">
        <v>312</v>
      </c>
      <c r="S251" s="24" t="s">
        <v>417</v>
      </c>
    </row>
    <row r="252" spans="1:19" x14ac:dyDescent="0.3">
      <c r="A252" s="19" t="str">
        <f t="shared" si="21"/>
        <v>01</v>
      </c>
      <c r="B252" s="20" t="s">
        <v>313</v>
      </c>
      <c r="C252" s="21" t="s">
        <v>314</v>
      </c>
      <c r="D252" s="21">
        <v>85011019</v>
      </c>
      <c r="E252" s="22">
        <v>43592</v>
      </c>
      <c r="F252" s="22">
        <v>45291</v>
      </c>
      <c r="G252" s="4">
        <v>0.71779999999999999</v>
      </c>
      <c r="H252" s="4">
        <f t="shared" si="22"/>
        <v>1.011082926829268</v>
      </c>
      <c r="I252" s="4">
        <f t="shared" si="23"/>
        <v>0.94823658536585342</v>
      </c>
      <c r="J252" s="4">
        <f t="shared" si="24"/>
        <v>0.843492682926829</v>
      </c>
      <c r="K252" s="4">
        <v>0.36559999999999998</v>
      </c>
      <c r="L252" s="4">
        <f t="shared" si="25"/>
        <v>0.5987512195121949</v>
      </c>
      <c r="M252" s="4">
        <f t="shared" si="26"/>
        <v>0.54879024390243858</v>
      </c>
      <c r="N252" s="4">
        <f t="shared" si="27"/>
        <v>0.4655219512195119</v>
      </c>
      <c r="O252" s="5">
        <v>0.18</v>
      </c>
      <c r="P252" s="6"/>
      <c r="Q252" s="6"/>
      <c r="R252" s="23" t="s">
        <v>315</v>
      </c>
      <c r="S252" s="24" t="s">
        <v>22</v>
      </c>
    </row>
    <row r="253" spans="1:19" x14ac:dyDescent="0.3">
      <c r="A253" s="19" t="str">
        <f t="shared" si="21"/>
        <v>01</v>
      </c>
      <c r="B253" s="20" t="s">
        <v>313</v>
      </c>
      <c r="C253" s="21" t="s">
        <v>314</v>
      </c>
      <c r="D253" s="21">
        <v>85011019</v>
      </c>
      <c r="E253" s="22">
        <v>45292</v>
      </c>
      <c r="F253" s="21"/>
      <c r="G253" s="4">
        <v>0.71779999999999999</v>
      </c>
      <c r="H253" s="4">
        <f t="shared" si="22"/>
        <v>1.0613599999999996</v>
      </c>
      <c r="I253" s="4">
        <f t="shared" si="23"/>
        <v>0.99694249999999984</v>
      </c>
      <c r="J253" s="4">
        <f t="shared" si="24"/>
        <v>0.88957999999999982</v>
      </c>
      <c r="K253" s="4">
        <v>0.36559999999999998</v>
      </c>
      <c r="L253" s="4">
        <f t="shared" si="25"/>
        <v>0.63871999999999973</v>
      </c>
      <c r="M253" s="4">
        <f t="shared" si="26"/>
        <v>0.58750999999999975</v>
      </c>
      <c r="N253" s="4">
        <f t="shared" si="27"/>
        <v>0.50215999999999972</v>
      </c>
      <c r="O253" s="5">
        <v>0.2</v>
      </c>
      <c r="P253" s="6"/>
      <c r="Q253" s="6"/>
      <c r="R253" s="23" t="s">
        <v>315</v>
      </c>
      <c r="S253" s="24" t="s">
        <v>417</v>
      </c>
    </row>
    <row r="254" spans="1:19" x14ac:dyDescent="0.3">
      <c r="A254" s="19" t="str">
        <f t="shared" si="21"/>
        <v>01</v>
      </c>
      <c r="B254" s="20" t="s">
        <v>316</v>
      </c>
      <c r="C254" s="21" t="s">
        <v>317</v>
      </c>
      <c r="D254" s="21">
        <v>85013110</v>
      </c>
      <c r="E254" s="22">
        <v>43592</v>
      </c>
      <c r="F254" s="22">
        <v>45291</v>
      </c>
      <c r="G254" s="4">
        <v>0.71779999999999999</v>
      </c>
      <c r="H254" s="4">
        <f t="shared" si="22"/>
        <v>1.011082926829268</v>
      </c>
      <c r="I254" s="4">
        <f t="shared" si="23"/>
        <v>0.94823658536585342</v>
      </c>
      <c r="J254" s="4">
        <f t="shared" si="24"/>
        <v>0.843492682926829</v>
      </c>
      <c r="K254" s="4">
        <v>0.36559999999999998</v>
      </c>
      <c r="L254" s="4">
        <f t="shared" si="25"/>
        <v>0.5987512195121949</v>
      </c>
      <c r="M254" s="4">
        <f t="shared" si="26"/>
        <v>0.54879024390243858</v>
      </c>
      <c r="N254" s="4">
        <f t="shared" si="27"/>
        <v>0.4655219512195119</v>
      </c>
      <c r="O254" s="5">
        <v>0.18</v>
      </c>
      <c r="P254" s="6"/>
      <c r="Q254" s="6"/>
      <c r="R254" s="23" t="s">
        <v>318</v>
      </c>
      <c r="S254" s="24" t="s">
        <v>22</v>
      </c>
    </row>
    <row r="255" spans="1:19" x14ac:dyDescent="0.3">
      <c r="A255" s="19" t="str">
        <f t="shared" si="21"/>
        <v>01</v>
      </c>
      <c r="B255" s="20" t="s">
        <v>316</v>
      </c>
      <c r="C255" s="21" t="s">
        <v>317</v>
      </c>
      <c r="D255" s="21">
        <v>85013110</v>
      </c>
      <c r="E255" s="22">
        <v>45292</v>
      </c>
      <c r="F255" s="21"/>
      <c r="G255" s="4">
        <v>0.71779999999999999</v>
      </c>
      <c r="H255" s="4">
        <f t="shared" si="22"/>
        <v>1.0613599999999996</v>
      </c>
      <c r="I255" s="4">
        <f t="shared" si="23"/>
        <v>0.99694249999999984</v>
      </c>
      <c r="J255" s="4">
        <f t="shared" si="24"/>
        <v>0.88957999999999982</v>
      </c>
      <c r="K255" s="4">
        <v>0.36559999999999998</v>
      </c>
      <c r="L255" s="4">
        <f t="shared" si="25"/>
        <v>0.63871999999999973</v>
      </c>
      <c r="M255" s="4">
        <f t="shared" si="26"/>
        <v>0.58750999999999975</v>
      </c>
      <c r="N255" s="4">
        <f t="shared" si="27"/>
        <v>0.50215999999999972</v>
      </c>
      <c r="O255" s="5">
        <v>0.2</v>
      </c>
      <c r="P255" s="6"/>
      <c r="Q255" s="6"/>
      <c r="R255" s="23" t="s">
        <v>318</v>
      </c>
      <c r="S255" s="24" t="s">
        <v>417</v>
      </c>
    </row>
    <row r="256" spans="1:19" x14ac:dyDescent="0.3">
      <c r="A256" s="19" t="str">
        <f t="shared" si="21"/>
        <v>01</v>
      </c>
      <c r="B256" s="20" t="s">
        <v>319</v>
      </c>
      <c r="C256" s="21" t="s">
        <v>320</v>
      </c>
      <c r="D256" s="21">
        <v>85045000</v>
      </c>
      <c r="E256" s="22">
        <v>43592</v>
      </c>
      <c r="F256" s="22">
        <v>45291</v>
      </c>
      <c r="G256" s="4">
        <v>0.71779999999999999</v>
      </c>
      <c r="H256" s="4">
        <f t="shared" si="22"/>
        <v>1.011082926829268</v>
      </c>
      <c r="I256" s="4">
        <f t="shared" si="23"/>
        <v>0.94823658536585342</v>
      </c>
      <c r="J256" s="4">
        <f t="shared" si="24"/>
        <v>0.843492682926829</v>
      </c>
      <c r="K256" s="4">
        <v>0.36559999999999998</v>
      </c>
      <c r="L256" s="4">
        <f t="shared" si="25"/>
        <v>0.5987512195121949</v>
      </c>
      <c r="M256" s="4">
        <f t="shared" si="26"/>
        <v>0.54879024390243858</v>
      </c>
      <c r="N256" s="4">
        <f t="shared" si="27"/>
        <v>0.4655219512195119</v>
      </c>
      <c r="O256" s="5">
        <v>0.18</v>
      </c>
      <c r="P256" s="6"/>
      <c r="Q256" s="6"/>
      <c r="R256" s="23" t="s">
        <v>321</v>
      </c>
      <c r="S256" s="24" t="s">
        <v>22</v>
      </c>
    </row>
    <row r="257" spans="1:19" x14ac:dyDescent="0.3">
      <c r="A257" s="19" t="str">
        <f t="shared" si="21"/>
        <v>01</v>
      </c>
      <c r="B257" s="20" t="s">
        <v>319</v>
      </c>
      <c r="C257" s="21" t="s">
        <v>320</v>
      </c>
      <c r="D257" s="21">
        <v>85045000</v>
      </c>
      <c r="E257" s="22">
        <v>45292</v>
      </c>
      <c r="F257" s="21"/>
      <c r="G257" s="4">
        <v>0.71779999999999999</v>
      </c>
      <c r="H257" s="4">
        <f t="shared" si="22"/>
        <v>1.0613599999999996</v>
      </c>
      <c r="I257" s="4">
        <f t="shared" si="23"/>
        <v>0.99694249999999984</v>
      </c>
      <c r="J257" s="4">
        <f t="shared" si="24"/>
        <v>0.88957999999999982</v>
      </c>
      <c r="K257" s="4">
        <v>0.36559999999999998</v>
      </c>
      <c r="L257" s="4">
        <f t="shared" si="25"/>
        <v>0.63871999999999973</v>
      </c>
      <c r="M257" s="4">
        <f t="shared" si="26"/>
        <v>0.58750999999999975</v>
      </c>
      <c r="N257" s="4">
        <f t="shared" si="27"/>
        <v>0.50215999999999972</v>
      </c>
      <c r="O257" s="5">
        <v>0.2</v>
      </c>
      <c r="P257" s="6"/>
      <c r="Q257" s="6"/>
      <c r="R257" s="23" t="s">
        <v>321</v>
      </c>
      <c r="S257" s="24" t="s">
        <v>417</v>
      </c>
    </row>
    <row r="258" spans="1:19" x14ac:dyDescent="0.3">
      <c r="A258" s="19" t="str">
        <f t="shared" ref="A258:A325" si="28">LEFT(C258,2)</f>
        <v>01</v>
      </c>
      <c r="B258" s="20" t="s">
        <v>322</v>
      </c>
      <c r="C258" s="21" t="s">
        <v>323</v>
      </c>
      <c r="D258" s="21">
        <v>850720</v>
      </c>
      <c r="E258" s="22">
        <v>43592</v>
      </c>
      <c r="F258" s="22">
        <v>45291</v>
      </c>
      <c r="G258" s="4">
        <v>0.71779999999999999</v>
      </c>
      <c r="H258" s="4">
        <f t="shared" ref="H258:H325" si="29">((1+$G258)*(1-4%)/(1-$O258))-1</f>
        <v>1.011082926829268</v>
      </c>
      <c r="I258" s="4">
        <f t="shared" ref="I258:I325" si="30">((1+$G258)*(1-7%)/(1-$O258))-1</f>
        <v>0.94823658536585342</v>
      </c>
      <c r="J258" s="4">
        <f t="shared" ref="J258:J325" si="31">((1+$G258)*(1-12%)/(1-$O258))-1</f>
        <v>0.843492682926829</v>
      </c>
      <c r="K258" s="4">
        <v>0.36559999999999998</v>
      </c>
      <c r="L258" s="4">
        <f t="shared" ref="L258:L325" si="32">((1+$K258)*(1-4%)/(1-$O258))-1</f>
        <v>0.5987512195121949</v>
      </c>
      <c r="M258" s="4">
        <f t="shared" ref="M258:M325" si="33">((1+$K258)*(1-7%)/(1-$O258))-1</f>
        <v>0.54879024390243858</v>
      </c>
      <c r="N258" s="4">
        <f t="shared" ref="N258:N325" si="34">((1+$K258)*(1-12%)/(1-$O258))-1</f>
        <v>0.4655219512195119</v>
      </c>
      <c r="O258" s="5">
        <v>0.18</v>
      </c>
      <c r="P258" s="6"/>
      <c r="Q258" s="6"/>
      <c r="R258" s="23" t="s">
        <v>324</v>
      </c>
      <c r="S258" s="24" t="s">
        <v>22</v>
      </c>
    </row>
    <row r="259" spans="1:19" x14ac:dyDescent="0.3">
      <c r="A259" s="19" t="str">
        <f t="shared" si="28"/>
        <v>01</v>
      </c>
      <c r="B259" s="20" t="s">
        <v>322</v>
      </c>
      <c r="C259" s="21" t="s">
        <v>323</v>
      </c>
      <c r="D259" s="21">
        <v>850720</v>
      </c>
      <c r="E259" s="22">
        <v>45292</v>
      </c>
      <c r="F259" s="21"/>
      <c r="G259" s="4">
        <v>0.71779999999999999</v>
      </c>
      <c r="H259" s="4">
        <f t="shared" si="29"/>
        <v>1.0613599999999996</v>
      </c>
      <c r="I259" s="4">
        <f t="shared" si="30"/>
        <v>0.99694249999999984</v>
      </c>
      <c r="J259" s="4">
        <f t="shared" si="31"/>
        <v>0.88957999999999982</v>
      </c>
      <c r="K259" s="4">
        <v>0.36559999999999998</v>
      </c>
      <c r="L259" s="4">
        <f t="shared" si="32"/>
        <v>0.63871999999999973</v>
      </c>
      <c r="M259" s="4">
        <f t="shared" si="33"/>
        <v>0.58750999999999975</v>
      </c>
      <c r="N259" s="4">
        <f t="shared" si="34"/>
        <v>0.50215999999999972</v>
      </c>
      <c r="O259" s="5">
        <v>0.2</v>
      </c>
      <c r="P259" s="6"/>
      <c r="Q259" s="6"/>
      <c r="R259" s="23" t="s">
        <v>324</v>
      </c>
      <c r="S259" s="24" t="s">
        <v>417</v>
      </c>
    </row>
    <row r="260" spans="1:19" x14ac:dyDescent="0.3">
      <c r="A260" s="19" t="str">
        <f t="shared" si="28"/>
        <v>01</v>
      </c>
      <c r="B260" s="20" t="s">
        <v>322</v>
      </c>
      <c r="C260" s="21" t="s">
        <v>323</v>
      </c>
      <c r="D260" s="21">
        <v>850730</v>
      </c>
      <c r="E260" s="22">
        <v>43592</v>
      </c>
      <c r="F260" s="22">
        <v>45291</v>
      </c>
      <c r="G260" s="4">
        <v>0.71779999999999999</v>
      </c>
      <c r="H260" s="4">
        <f t="shared" si="29"/>
        <v>1.011082926829268</v>
      </c>
      <c r="I260" s="4">
        <f t="shared" si="30"/>
        <v>0.94823658536585342</v>
      </c>
      <c r="J260" s="4">
        <f t="shared" si="31"/>
        <v>0.843492682926829</v>
      </c>
      <c r="K260" s="4">
        <v>0.36559999999999998</v>
      </c>
      <c r="L260" s="4">
        <f t="shared" si="32"/>
        <v>0.5987512195121949</v>
      </c>
      <c r="M260" s="4">
        <f t="shared" si="33"/>
        <v>0.54879024390243858</v>
      </c>
      <c r="N260" s="4">
        <f t="shared" si="34"/>
        <v>0.4655219512195119</v>
      </c>
      <c r="O260" s="5">
        <v>0.18</v>
      </c>
      <c r="P260" s="6"/>
      <c r="Q260" s="6"/>
      <c r="R260" s="23" t="s">
        <v>324</v>
      </c>
      <c r="S260" s="24" t="s">
        <v>22</v>
      </c>
    </row>
    <row r="261" spans="1:19" x14ac:dyDescent="0.3">
      <c r="A261" s="19" t="str">
        <f t="shared" si="28"/>
        <v>01</v>
      </c>
      <c r="B261" s="20" t="s">
        <v>322</v>
      </c>
      <c r="C261" s="21" t="s">
        <v>323</v>
      </c>
      <c r="D261" s="21">
        <v>850730</v>
      </c>
      <c r="E261" s="22">
        <v>45292</v>
      </c>
      <c r="F261" s="21"/>
      <c r="G261" s="4">
        <v>0.71779999999999999</v>
      </c>
      <c r="H261" s="4">
        <f t="shared" si="29"/>
        <v>1.0613599999999996</v>
      </c>
      <c r="I261" s="4">
        <f t="shared" si="30"/>
        <v>0.99694249999999984</v>
      </c>
      <c r="J261" s="4">
        <f t="shared" si="31"/>
        <v>0.88957999999999982</v>
      </c>
      <c r="K261" s="4">
        <v>0.36559999999999998</v>
      </c>
      <c r="L261" s="4">
        <f t="shared" si="32"/>
        <v>0.63871999999999973</v>
      </c>
      <c r="M261" s="4">
        <f t="shared" si="33"/>
        <v>0.58750999999999975</v>
      </c>
      <c r="N261" s="4">
        <f t="shared" si="34"/>
        <v>0.50215999999999972</v>
      </c>
      <c r="O261" s="5">
        <v>0.2</v>
      </c>
      <c r="P261" s="6"/>
      <c r="Q261" s="6"/>
      <c r="R261" s="23" t="s">
        <v>324</v>
      </c>
      <c r="S261" s="24" t="s">
        <v>417</v>
      </c>
    </row>
    <row r="262" spans="1:19" x14ac:dyDescent="0.3">
      <c r="A262" s="19" t="str">
        <f t="shared" si="28"/>
        <v>01</v>
      </c>
      <c r="B262" s="20" t="s">
        <v>325</v>
      </c>
      <c r="C262" s="21" t="s">
        <v>326</v>
      </c>
      <c r="D262" s="21">
        <v>85123000</v>
      </c>
      <c r="E262" s="22">
        <v>43592</v>
      </c>
      <c r="F262" s="22">
        <v>45291</v>
      </c>
      <c r="G262" s="4">
        <v>0.71779999999999999</v>
      </c>
      <c r="H262" s="4">
        <f t="shared" si="29"/>
        <v>1.011082926829268</v>
      </c>
      <c r="I262" s="4">
        <f t="shared" si="30"/>
        <v>0.94823658536585342</v>
      </c>
      <c r="J262" s="4">
        <f t="shared" si="31"/>
        <v>0.843492682926829</v>
      </c>
      <c r="K262" s="4">
        <v>0.36559999999999998</v>
      </c>
      <c r="L262" s="4">
        <f t="shared" si="32"/>
        <v>0.5987512195121949</v>
      </c>
      <c r="M262" s="4">
        <f t="shared" si="33"/>
        <v>0.54879024390243858</v>
      </c>
      <c r="N262" s="4">
        <f t="shared" si="34"/>
        <v>0.4655219512195119</v>
      </c>
      <c r="O262" s="5">
        <v>0.18</v>
      </c>
      <c r="P262" s="6"/>
      <c r="Q262" s="6"/>
      <c r="R262" s="23" t="s">
        <v>327</v>
      </c>
      <c r="S262" s="24" t="s">
        <v>22</v>
      </c>
    </row>
    <row r="263" spans="1:19" x14ac:dyDescent="0.3">
      <c r="A263" s="19" t="str">
        <f t="shared" si="28"/>
        <v>01</v>
      </c>
      <c r="B263" s="20" t="s">
        <v>325</v>
      </c>
      <c r="C263" s="21" t="s">
        <v>326</v>
      </c>
      <c r="D263" s="21">
        <v>85123000</v>
      </c>
      <c r="E263" s="22">
        <v>45292</v>
      </c>
      <c r="F263" s="21"/>
      <c r="G263" s="4">
        <v>0.71779999999999999</v>
      </c>
      <c r="H263" s="4">
        <f t="shared" si="29"/>
        <v>1.0613599999999996</v>
      </c>
      <c r="I263" s="4">
        <f t="shared" si="30"/>
        <v>0.99694249999999984</v>
      </c>
      <c r="J263" s="4">
        <f t="shared" si="31"/>
        <v>0.88957999999999982</v>
      </c>
      <c r="K263" s="4">
        <v>0.36559999999999998</v>
      </c>
      <c r="L263" s="4">
        <f t="shared" si="32"/>
        <v>0.63871999999999973</v>
      </c>
      <c r="M263" s="4">
        <f t="shared" si="33"/>
        <v>0.58750999999999975</v>
      </c>
      <c r="N263" s="4">
        <f t="shared" si="34"/>
        <v>0.50215999999999972</v>
      </c>
      <c r="O263" s="5">
        <v>0.2</v>
      </c>
      <c r="P263" s="6"/>
      <c r="Q263" s="6"/>
      <c r="R263" s="23" t="s">
        <v>327</v>
      </c>
      <c r="S263" s="24" t="s">
        <v>417</v>
      </c>
    </row>
    <row r="264" spans="1:19" x14ac:dyDescent="0.3">
      <c r="A264" s="19" t="str">
        <f t="shared" si="28"/>
        <v>01</v>
      </c>
      <c r="B264" s="20" t="s">
        <v>328</v>
      </c>
      <c r="C264" s="21" t="s">
        <v>329</v>
      </c>
      <c r="D264" s="21">
        <v>9032898</v>
      </c>
      <c r="E264" s="22">
        <v>43592</v>
      </c>
      <c r="F264" s="22">
        <v>45291</v>
      </c>
      <c r="G264" s="4">
        <v>0.71779999999999999</v>
      </c>
      <c r="H264" s="4">
        <f t="shared" si="29"/>
        <v>1.011082926829268</v>
      </c>
      <c r="I264" s="4">
        <f t="shared" si="30"/>
        <v>0.94823658536585342</v>
      </c>
      <c r="J264" s="4">
        <f t="shared" si="31"/>
        <v>0.843492682926829</v>
      </c>
      <c r="K264" s="4">
        <v>0.36559999999999998</v>
      </c>
      <c r="L264" s="4">
        <f t="shared" si="32"/>
        <v>0.5987512195121949</v>
      </c>
      <c r="M264" s="4">
        <f t="shared" si="33"/>
        <v>0.54879024390243858</v>
      </c>
      <c r="N264" s="4">
        <f t="shared" si="34"/>
        <v>0.4655219512195119</v>
      </c>
      <c r="O264" s="5">
        <v>0.18</v>
      </c>
      <c r="P264" s="6"/>
      <c r="Q264" s="6"/>
      <c r="R264" s="23" t="s">
        <v>330</v>
      </c>
      <c r="S264" s="24" t="s">
        <v>22</v>
      </c>
    </row>
    <row r="265" spans="1:19" x14ac:dyDescent="0.3">
      <c r="A265" s="19" t="str">
        <f t="shared" si="28"/>
        <v>01</v>
      </c>
      <c r="B265" s="20" t="s">
        <v>328</v>
      </c>
      <c r="C265" s="21" t="s">
        <v>329</v>
      </c>
      <c r="D265" s="21">
        <v>9032898</v>
      </c>
      <c r="E265" s="22">
        <v>45292</v>
      </c>
      <c r="F265" s="21"/>
      <c r="G265" s="4">
        <v>0.71779999999999999</v>
      </c>
      <c r="H265" s="4">
        <f t="shared" si="29"/>
        <v>1.0613599999999996</v>
      </c>
      <c r="I265" s="4">
        <f t="shared" si="30"/>
        <v>0.99694249999999984</v>
      </c>
      <c r="J265" s="4">
        <f t="shared" si="31"/>
        <v>0.88957999999999982</v>
      </c>
      <c r="K265" s="4">
        <v>0.36559999999999998</v>
      </c>
      <c r="L265" s="4">
        <f t="shared" si="32"/>
        <v>0.63871999999999973</v>
      </c>
      <c r="M265" s="4">
        <f t="shared" si="33"/>
        <v>0.58750999999999975</v>
      </c>
      <c r="N265" s="4">
        <f t="shared" si="34"/>
        <v>0.50215999999999972</v>
      </c>
      <c r="O265" s="5">
        <v>0.2</v>
      </c>
      <c r="P265" s="6"/>
      <c r="Q265" s="6"/>
      <c r="R265" s="23" t="s">
        <v>330</v>
      </c>
      <c r="S265" s="24" t="s">
        <v>417</v>
      </c>
    </row>
    <row r="266" spans="1:19" x14ac:dyDescent="0.3">
      <c r="A266" s="19" t="str">
        <f t="shared" si="28"/>
        <v>01</v>
      </c>
      <c r="B266" s="20" t="s">
        <v>328</v>
      </c>
      <c r="C266" s="21" t="s">
        <v>329</v>
      </c>
      <c r="D266" s="21">
        <v>9032899</v>
      </c>
      <c r="E266" s="22">
        <v>43592</v>
      </c>
      <c r="F266" s="22">
        <v>45291</v>
      </c>
      <c r="G266" s="4">
        <v>0.71779999999999999</v>
      </c>
      <c r="H266" s="4">
        <f t="shared" si="29"/>
        <v>1.011082926829268</v>
      </c>
      <c r="I266" s="4">
        <f t="shared" si="30"/>
        <v>0.94823658536585342</v>
      </c>
      <c r="J266" s="4">
        <f t="shared" si="31"/>
        <v>0.843492682926829</v>
      </c>
      <c r="K266" s="4">
        <v>0.36559999999999998</v>
      </c>
      <c r="L266" s="4">
        <f t="shared" si="32"/>
        <v>0.5987512195121949</v>
      </c>
      <c r="M266" s="4">
        <f t="shared" si="33"/>
        <v>0.54879024390243858</v>
      </c>
      <c r="N266" s="4">
        <f t="shared" si="34"/>
        <v>0.4655219512195119</v>
      </c>
      <c r="O266" s="5">
        <v>0.18</v>
      </c>
      <c r="P266" s="6"/>
      <c r="Q266" s="6"/>
      <c r="R266" s="23" t="s">
        <v>330</v>
      </c>
      <c r="S266" s="24" t="s">
        <v>22</v>
      </c>
    </row>
    <row r="267" spans="1:19" x14ac:dyDescent="0.3">
      <c r="A267" s="19" t="str">
        <f t="shared" si="28"/>
        <v>01</v>
      </c>
      <c r="B267" s="20" t="s">
        <v>328</v>
      </c>
      <c r="C267" s="21" t="s">
        <v>329</v>
      </c>
      <c r="D267" s="21">
        <v>9032899</v>
      </c>
      <c r="E267" s="22">
        <v>45292</v>
      </c>
      <c r="F267" s="21"/>
      <c r="G267" s="4">
        <v>0.71779999999999999</v>
      </c>
      <c r="H267" s="4">
        <f t="shared" si="29"/>
        <v>1.0613599999999996</v>
      </c>
      <c r="I267" s="4">
        <f t="shared" si="30"/>
        <v>0.99694249999999984</v>
      </c>
      <c r="J267" s="4">
        <f t="shared" si="31"/>
        <v>0.88957999999999982</v>
      </c>
      <c r="K267" s="4">
        <v>0.36559999999999998</v>
      </c>
      <c r="L267" s="4">
        <f t="shared" si="32"/>
        <v>0.63871999999999973</v>
      </c>
      <c r="M267" s="4">
        <f t="shared" si="33"/>
        <v>0.58750999999999975</v>
      </c>
      <c r="N267" s="4">
        <f t="shared" si="34"/>
        <v>0.50215999999999972</v>
      </c>
      <c r="O267" s="5">
        <v>0.2</v>
      </c>
      <c r="P267" s="6"/>
      <c r="Q267" s="6"/>
      <c r="R267" s="23" t="s">
        <v>330</v>
      </c>
      <c r="S267" s="24" t="s">
        <v>417</v>
      </c>
    </row>
    <row r="268" spans="1:19" x14ac:dyDescent="0.3">
      <c r="A268" s="19" t="str">
        <f t="shared" si="28"/>
        <v>01</v>
      </c>
      <c r="B268" s="20" t="s">
        <v>331</v>
      </c>
      <c r="C268" s="21" t="s">
        <v>332</v>
      </c>
      <c r="D268" s="21">
        <v>90271000</v>
      </c>
      <c r="E268" s="22">
        <v>43592</v>
      </c>
      <c r="F268" s="22">
        <v>45291</v>
      </c>
      <c r="G268" s="4">
        <v>0.71779999999999999</v>
      </c>
      <c r="H268" s="4">
        <f t="shared" si="29"/>
        <v>1.011082926829268</v>
      </c>
      <c r="I268" s="4">
        <f t="shared" si="30"/>
        <v>0.94823658536585342</v>
      </c>
      <c r="J268" s="4">
        <f t="shared" si="31"/>
        <v>0.843492682926829</v>
      </c>
      <c r="K268" s="4">
        <v>0.36559999999999998</v>
      </c>
      <c r="L268" s="4">
        <f t="shared" si="32"/>
        <v>0.5987512195121949</v>
      </c>
      <c r="M268" s="4">
        <f t="shared" si="33"/>
        <v>0.54879024390243858</v>
      </c>
      <c r="N268" s="4">
        <f t="shared" si="34"/>
        <v>0.4655219512195119</v>
      </c>
      <c r="O268" s="5">
        <v>0.18</v>
      </c>
      <c r="P268" s="6"/>
      <c r="Q268" s="6"/>
      <c r="R268" s="23" t="s">
        <v>333</v>
      </c>
      <c r="S268" s="24" t="s">
        <v>22</v>
      </c>
    </row>
    <row r="269" spans="1:19" x14ac:dyDescent="0.3">
      <c r="A269" s="19" t="str">
        <f t="shared" si="28"/>
        <v>01</v>
      </c>
      <c r="B269" s="20" t="s">
        <v>331</v>
      </c>
      <c r="C269" s="21" t="s">
        <v>332</v>
      </c>
      <c r="D269" s="21">
        <v>90271000</v>
      </c>
      <c r="E269" s="22">
        <v>45292</v>
      </c>
      <c r="F269" s="21"/>
      <c r="G269" s="4">
        <v>0.71779999999999999</v>
      </c>
      <c r="H269" s="4">
        <f t="shared" si="29"/>
        <v>1.0613599999999996</v>
      </c>
      <c r="I269" s="4">
        <f t="shared" si="30"/>
        <v>0.99694249999999984</v>
      </c>
      <c r="J269" s="4">
        <f t="shared" si="31"/>
        <v>0.88957999999999982</v>
      </c>
      <c r="K269" s="4">
        <v>0.36559999999999998</v>
      </c>
      <c r="L269" s="4">
        <f t="shared" si="32"/>
        <v>0.63871999999999973</v>
      </c>
      <c r="M269" s="4">
        <f t="shared" si="33"/>
        <v>0.58750999999999975</v>
      </c>
      <c r="N269" s="4">
        <f t="shared" si="34"/>
        <v>0.50215999999999972</v>
      </c>
      <c r="O269" s="5">
        <v>0.2</v>
      </c>
      <c r="P269" s="6"/>
      <c r="Q269" s="6"/>
      <c r="R269" s="23" t="s">
        <v>333</v>
      </c>
      <c r="S269" s="24" t="s">
        <v>417</v>
      </c>
    </row>
    <row r="270" spans="1:19" x14ac:dyDescent="0.3">
      <c r="A270" s="19" t="str">
        <f t="shared" si="28"/>
        <v>01</v>
      </c>
      <c r="B270" s="20" t="s">
        <v>334</v>
      </c>
      <c r="C270" s="21" t="s">
        <v>335</v>
      </c>
      <c r="D270" s="21">
        <v>40081100</v>
      </c>
      <c r="E270" s="22">
        <v>43592</v>
      </c>
      <c r="F270" s="22">
        <v>45291</v>
      </c>
      <c r="G270" s="4">
        <v>0.71779999999999999</v>
      </c>
      <c r="H270" s="4">
        <f t="shared" si="29"/>
        <v>1.011082926829268</v>
      </c>
      <c r="I270" s="4">
        <f t="shared" si="30"/>
        <v>0.94823658536585342</v>
      </c>
      <c r="J270" s="4">
        <f t="shared" si="31"/>
        <v>0.843492682926829</v>
      </c>
      <c r="K270" s="4">
        <v>0.36559999999999998</v>
      </c>
      <c r="L270" s="4">
        <f t="shared" si="32"/>
        <v>0.5987512195121949</v>
      </c>
      <c r="M270" s="4">
        <f t="shared" si="33"/>
        <v>0.54879024390243858</v>
      </c>
      <c r="N270" s="4">
        <f t="shared" si="34"/>
        <v>0.4655219512195119</v>
      </c>
      <c r="O270" s="5">
        <v>0.18</v>
      </c>
      <c r="P270" s="6"/>
      <c r="Q270" s="6"/>
      <c r="R270" s="23" t="s">
        <v>336</v>
      </c>
      <c r="S270" s="24" t="s">
        <v>22</v>
      </c>
    </row>
    <row r="271" spans="1:19" x14ac:dyDescent="0.3">
      <c r="A271" s="19" t="str">
        <f t="shared" si="28"/>
        <v>01</v>
      </c>
      <c r="B271" s="20" t="s">
        <v>334</v>
      </c>
      <c r="C271" s="21" t="s">
        <v>335</v>
      </c>
      <c r="D271" s="21">
        <v>40081100</v>
      </c>
      <c r="E271" s="22">
        <v>45292</v>
      </c>
      <c r="F271" s="21"/>
      <c r="G271" s="4">
        <v>0.71779999999999999</v>
      </c>
      <c r="H271" s="4">
        <f t="shared" si="29"/>
        <v>1.0613599999999996</v>
      </c>
      <c r="I271" s="4">
        <f t="shared" si="30"/>
        <v>0.99694249999999984</v>
      </c>
      <c r="J271" s="4">
        <f t="shared" si="31"/>
        <v>0.88957999999999982</v>
      </c>
      <c r="K271" s="4">
        <v>0.36559999999999998</v>
      </c>
      <c r="L271" s="4">
        <f t="shared" si="32"/>
        <v>0.63871999999999973</v>
      </c>
      <c r="M271" s="4">
        <f t="shared" si="33"/>
        <v>0.58750999999999975</v>
      </c>
      <c r="N271" s="4">
        <f t="shared" si="34"/>
        <v>0.50215999999999972</v>
      </c>
      <c r="O271" s="5">
        <v>0.2</v>
      </c>
      <c r="P271" s="6"/>
      <c r="Q271" s="6"/>
      <c r="R271" s="23" t="s">
        <v>336</v>
      </c>
      <c r="S271" s="24" t="s">
        <v>417</v>
      </c>
    </row>
    <row r="272" spans="1:19" x14ac:dyDescent="0.3">
      <c r="A272" s="19" t="str">
        <f t="shared" si="28"/>
        <v>01</v>
      </c>
      <c r="B272" s="20" t="s">
        <v>337</v>
      </c>
      <c r="C272" s="21" t="s">
        <v>338</v>
      </c>
      <c r="D272" s="21">
        <v>56012219</v>
      </c>
      <c r="E272" s="22">
        <v>43592</v>
      </c>
      <c r="F272" s="22">
        <v>45291</v>
      </c>
      <c r="G272" s="4">
        <v>0.71779999999999999</v>
      </c>
      <c r="H272" s="4">
        <f t="shared" si="29"/>
        <v>1.011082926829268</v>
      </c>
      <c r="I272" s="4">
        <f t="shared" si="30"/>
        <v>0.94823658536585342</v>
      </c>
      <c r="J272" s="4">
        <f t="shared" si="31"/>
        <v>0.843492682926829</v>
      </c>
      <c r="K272" s="4">
        <v>0.36559999999999998</v>
      </c>
      <c r="L272" s="4">
        <f t="shared" si="32"/>
        <v>0.5987512195121949</v>
      </c>
      <c r="M272" s="4">
        <f t="shared" si="33"/>
        <v>0.54879024390243858</v>
      </c>
      <c r="N272" s="4">
        <f t="shared" si="34"/>
        <v>0.4655219512195119</v>
      </c>
      <c r="O272" s="5">
        <v>0.18</v>
      </c>
      <c r="P272" s="6"/>
      <c r="Q272" s="6"/>
      <c r="R272" s="23" t="s">
        <v>339</v>
      </c>
      <c r="S272" s="24" t="s">
        <v>22</v>
      </c>
    </row>
    <row r="273" spans="1:19" x14ac:dyDescent="0.3">
      <c r="A273" s="19" t="str">
        <f t="shared" si="28"/>
        <v>01</v>
      </c>
      <c r="B273" s="20" t="s">
        <v>337</v>
      </c>
      <c r="C273" s="21" t="s">
        <v>338</v>
      </c>
      <c r="D273" s="21">
        <v>56012219</v>
      </c>
      <c r="E273" s="22">
        <v>45292</v>
      </c>
      <c r="F273" s="21"/>
      <c r="G273" s="4">
        <v>0.71779999999999999</v>
      </c>
      <c r="H273" s="4">
        <f t="shared" si="29"/>
        <v>1.0613599999999996</v>
      </c>
      <c r="I273" s="4">
        <f t="shared" si="30"/>
        <v>0.99694249999999984</v>
      </c>
      <c r="J273" s="4">
        <f t="shared" si="31"/>
        <v>0.88957999999999982</v>
      </c>
      <c r="K273" s="4">
        <v>0.36559999999999998</v>
      </c>
      <c r="L273" s="4">
        <f t="shared" si="32"/>
        <v>0.63871999999999973</v>
      </c>
      <c r="M273" s="4">
        <f t="shared" si="33"/>
        <v>0.58750999999999975</v>
      </c>
      <c r="N273" s="4">
        <f t="shared" si="34"/>
        <v>0.50215999999999972</v>
      </c>
      <c r="O273" s="5">
        <v>0.2</v>
      </c>
      <c r="P273" s="6"/>
      <c r="Q273" s="6"/>
      <c r="R273" s="23" t="s">
        <v>339</v>
      </c>
      <c r="S273" s="24" t="s">
        <v>417</v>
      </c>
    </row>
    <row r="274" spans="1:19" x14ac:dyDescent="0.3">
      <c r="A274" s="26" t="str">
        <f t="shared" si="28"/>
        <v>01</v>
      </c>
      <c r="B274" s="27" t="s">
        <v>340</v>
      </c>
      <c r="C274" s="28" t="s">
        <v>341</v>
      </c>
      <c r="D274" s="28">
        <v>57032000</v>
      </c>
      <c r="E274" s="29">
        <v>43592</v>
      </c>
      <c r="F274" s="29">
        <v>44682</v>
      </c>
      <c r="G274" s="13">
        <v>0.71779999999999999</v>
      </c>
      <c r="H274" s="13">
        <f t="shared" si="29"/>
        <v>1.011082926829268</v>
      </c>
      <c r="I274" s="13">
        <f t="shared" si="30"/>
        <v>0.94823658536585342</v>
      </c>
      <c r="J274" s="13">
        <f t="shared" si="31"/>
        <v>0.843492682926829</v>
      </c>
      <c r="K274" s="13">
        <v>0.36559999999999998</v>
      </c>
      <c r="L274" s="13">
        <f t="shared" si="32"/>
        <v>0.5987512195121949</v>
      </c>
      <c r="M274" s="13">
        <f t="shared" si="33"/>
        <v>0.54879024390243858</v>
      </c>
      <c r="N274" s="13">
        <f t="shared" si="34"/>
        <v>0.4655219512195119</v>
      </c>
      <c r="O274" s="14">
        <v>0.18</v>
      </c>
      <c r="P274" s="15"/>
      <c r="Q274" s="15"/>
      <c r="R274" s="30" t="s">
        <v>342</v>
      </c>
      <c r="S274" s="31" t="s">
        <v>415</v>
      </c>
    </row>
    <row r="275" spans="1:19" x14ac:dyDescent="0.3">
      <c r="A275" s="26" t="str">
        <f t="shared" si="28"/>
        <v>01</v>
      </c>
      <c r="B275" s="27" t="s">
        <v>340</v>
      </c>
      <c r="C275" s="28" t="s">
        <v>341</v>
      </c>
      <c r="D275" s="28">
        <v>57032900</v>
      </c>
      <c r="E275" s="29">
        <v>44683</v>
      </c>
      <c r="F275" s="22">
        <v>45291</v>
      </c>
      <c r="G275" s="13">
        <v>0.71779999999999999</v>
      </c>
      <c r="H275" s="13">
        <f t="shared" si="29"/>
        <v>1.011082926829268</v>
      </c>
      <c r="I275" s="13">
        <f t="shared" si="30"/>
        <v>0.94823658536585342</v>
      </c>
      <c r="J275" s="13">
        <f t="shared" si="31"/>
        <v>0.843492682926829</v>
      </c>
      <c r="K275" s="13">
        <v>0.36559999999999998</v>
      </c>
      <c r="L275" s="13">
        <f t="shared" si="32"/>
        <v>0.5987512195121949</v>
      </c>
      <c r="M275" s="13">
        <f t="shared" si="33"/>
        <v>0.54879024390243858</v>
      </c>
      <c r="N275" s="13">
        <f t="shared" si="34"/>
        <v>0.4655219512195119</v>
      </c>
      <c r="O275" s="14">
        <v>0.18</v>
      </c>
      <c r="P275" s="15"/>
      <c r="Q275" s="15"/>
      <c r="R275" s="30" t="s">
        <v>342</v>
      </c>
      <c r="S275" s="31" t="s">
        <v>416</v>
      </c>
    </row>
    <row r="276" spans="1:19" x14ac:dyDescent="0.3">
      <c r="A276" s="26" t="str">
        <f t="shared" si="28"/>
        <v>01</v>
      </c>
      <c r="B276" s="27" t="s">
        <v>340</v>
      </c>
      <c r="C276" s="28" t="s">
        <v>341</v>
      </c>
      <c r="D276" s="28">
        <v>57032900</v>
      </c>
      <c r="E276" s="22">
        <v>45292</v>
      </c>
      <c r="F276" s="28"/>
      <c r="G276" s="13">
        <v>0.71779999999999999</v>
      </c>
      <c r="H276" s="13">
        <f t="shared" si="29"/>
        <v>1.0613599999999996</v>
      </c>
      <c r="I276" s="13">
        <f t="shared" si="30"/>
        <v>0.99694249999999984</v>
      </c>
      <c r="J276" s="13">
        <f t="shared" si="31"/>
        <v>0.88957999999999982</v>
      </c>
      <c r="K276" s="13">
        <v>0.36559999999999998</v>
      </c>
      <c r="L276" s="13">
        <f t="shared" si="32"/>
        <v>0.63871999999999973</v>
      </c>
      <c r="M276" s="13">
        <f t="shared" si="33"/>
        <v>0.58750999999999975</v>
      </c>
      <c r="N276" s="13">
        <f t="shared" si="34"/>
        <v>0.50215999999999972</v>
      </c>
      <c r="O276" s="5">
        <v>0.2</v>
      </c>
      <c r="P276" s="15"/>
      <c r="Q276" s="15"/>
      <c r="R276" s="30" t="s">
        <v>342</v>
      </c>
      <c r="S276" s="24" t="s">
        <v>417</v>
      </c>
    </row>
    <row r="277" spans="1:19" x14ac:dyDescent="0.3">
      <c r="A277" s="26" t="str">
        <f t="shared" si="28"/>
        <v>01</v>
      </c>
      <c r="B277" s="27" t="s">
        <v>343</v>
      </c>
      <c r="C277" s="28" t="s">
        <v>344</v>
      </c>
      <c r="D277" s="28">
        <v>57033000</v>
      </c>
      <c r="E277" s="29">
        <v>43592</v>
      </c>
      <c r="F277" s="29">
        <v>44682</v>
      </c>
      <c r="G277" s="13">
        <v>0.71779999999999999</v>
      </c>
      <c r="H277" s="13">
        <f t="shared" si="29"/>
        <v>1.011082926829268</v>
      </c>
      <c r="I277" s="13">
        <f t="shared" si="30"/>
        <v>0.94823658536585342</v>
      </c>
      <c r="J277" s="13">
        <f t="shared" si="31"/>
        <v>0.843492682926829</v>
      </c>
      <c r="K277" s="13">
        <v>0.36559999999999998</v>
      </c>
      <c r="L277" s="13">
        <f t="shared" si="32"/>
        <v>0.5987512195121949</v>
      </c>
      <c r="M277" s="13">
        <f t="shared" si="33"/>
        <v>0.54879024390243858</v>
      </c>
      <c r="N277" s="13">
        <f t="shared" si="34"/>
        <v>0.4655219512195119</v>
      </c>
      <c r="O277" s="14">
        <v>0.18</v>
      </c>
      <c r="P277" s="15"/>
      <c r="Q277" s="15"/>
      <c r="R277" s="30" t="s">
        <v>345</v>
      </c>
      <c r="S277" s="31" t="s">
        <v>415</v>
      </c>
    </row>
    <row r="278" spans="1:19" x14ac:dyDescent="0.3">
      <c r="A278" s="26" t="str">
        <f t="shared" si="28"/>
        <v>01</v>
      </c>
      <c r="B278" s="27" t="s">
        <v>343</v>
      </c>
      <c r="C278" s="28" t="s">
        <v>344</v>
      </c>
      <c r="D278" s="28">
        <v>57033900</v>
      </c>
      <c r="E278" s="29">
        <v>44683</v>
      </c>
      <c r="F278" s="22">
        <v>45291</v>
      </c>
      <c r="G278" s="13">
        <v>0.71779999999999999</v>
      </c>
      <c r="H278" s="13">
        <f t="shared" si="29"/>
        <v>1.011082926829268</v>
      </c>
      <c r="I278" s="13">
        <f t="shared" si="30"/>
        <v>0.94823658536585342</v>
      </c>
      <c r="J278" s="13">
        <f t="shared" si="31"/>
        <v>0.843492682926829</v>
      </c>
      <c r="K278" s="13">
        <v>0.36559999999999998</v>
      </c>
      <c r="L278" s="13">
        <f t="shared" si="32"/>
        <v>0.5987512195121949</v>
      </c>
      <c r="M278" s="13">
        <f t="shared" si="33"/>
        <v>0.54879024390243858</v>
      </c>
      <c r="N278" s="13">
        <f t="shared" si="34"/>
        <v>0.4655219512195119</v>
      </c>
      <c r="O278" s="14">
        <v>0.18</v>
      </c>
      <c r="P278" s="15"/>
      <c r="Q278" s="15"/>
      <c r="R278" s="30" t="s">
        <v>345</v>
      </c>
      <c r="S278" s="31" t="s">
        <v>416</v>
      </c>
    </row>
    <row r="279" spans="1:19" x14ac:dyDescent="0.3">
      <c r="A279" s="26" t="str">
        <f t="shared" si="28"/>
        <v>01</v>
      </c>
      <c r="B279" s="27" t="s">
        <v>343</v>
      </c>
      <c r="C279" s="28" t="s">
        <v>344</v>
      </c>
      <c r="D279" s="28">
        <v>57033900</v>
      </c>
      <c r="E279" s="22">
        <v>45292</v>
      </c>
      <c r="F279" s="28"/>
      <c r="G279" s="13">
        <v>0.71779999999999999</v>
      </c>
      <c r="H279" s="13">
        <f t="shared" si="29"/>
        <v>1.0613599999999996</v>
      </c>
      <c r="I279" s="13">
        <f t="shared" si="30"/>
        <v>0.99694249999999984</v>
      </c>
      <c r="J279" s="13">
        <f t="shared" si="31"/>
        <v>0.88957999999999982</v>
      </c>
      <c r="K279" s="13">
        <v>0.36559999999999998</v>
      </c>
      <c r="L279" s="13">
        <f t="shared" si="32"/>
        <v>0.63871999999999973</v>
      </c>
      <c r="M279" s="13">
        <f t="shared" si="33"/>
        <v>0.58750999999999975</v>
      </c>
      <c r="N279" s="13">
        <f t="shared" si="34"/>
        <v>0.50215999999999972</v>
      </c>
      <c r="O279" s="5">
        <v>0.2</v>
      </c>
      <c r="P279" s="15"/>
      <c r="Q279" s="15"/>
      <c r="R279" s="30" t="s">
        <v>345</v>
      </c>
      <c r="S279" s="24" t="s">
        <v>417</v>
      </c>
    </row>
    <row r="280" spans="1:19" x14ac:dyDescent="0.3">
      <c r="A280" s="19" t="str">
        <f t="shared" si="28"/>
        <v>01</v>
      </c>
      <c r="B280" s="20" t="s">
        <v>346</v>
      </c>
      <c r="C280" s="21" t="s">
        <v>347</v>
      </c>
      <c r="D280" s="21">
        <v>59119000</v>
      </c>
      <c r="E280" s="22">
        <v>43592</v>
      </c>
      <c r="F280" s="22">
        <v>45291</v>
      </c>
      <c r="G280" s="4">
        <v>0.71779999999999999</v>
      </c>
      <c r="H280" s="4">
        <f t="shared" si="29"/>
        <v>1.011082926829268</v>
      </c>
      <c r="I280" s="4">
        <f t="shared" si="30"/>
        <v>0.94823658536585342</v>
      </c>
      <c r="J280" s="4">
        <f t="shared" si="31"/>
        <v>0.843492682926829</v>
      </c>
      <c r="K280" s="4">
        <v>0.36559999999999998</v>
      </c>
      <c r="L280" s="4">
        <f t="shared" si="32"/>
        <v>0.5987512195121949</v>
      </c>
      <c r="M280" s="4">
        <f t="shared" si="33"/>
        <v>0.54879024390243858</v>
      </c>
      <c r="N280" s="4">
        <f t="shared" si="34"/>
        <v>0.4655219512195119</v>
      </c>
      <c r="O280" s="5">
        <v>0.18</v>
      </c>
      <c r="P280" s="6"/>
      <c r="Q280" s="6"/>
      <c r="R280" s="23" t="s">
        <v>348</v>
      </c>
      <c r="S280" s="24" t="s">
        <v>22</v>
      </c>
    </row>
    <row r="281" spans="1:19" x14ac:dyDescent="0.3">
      <c r="A281" s="19" t="str">
        <f t="shared" si="28"/>
        <v>01</v>
      </c>
      <c r="B281" s="20" t="s">
        <v>346</v>
      </c>
      <c r="C281" s="21" t="s">
        <v>347</v>
      </c>
      <c r="D281" s="21">
        <v>59119000</v>
      </c>
      <c r="E281" s="22">
        <v>45292</v>
      </c>
      <c r="F281" s="21"/>
      <c r="G281" s="4">
        <v>0.71779999999999999</v>
      </c>
      <c r="H281" s="4">
        <f t="shared" si="29"/>
        <v>1.0613599999999996</v>
      </c>
      <c r="I281" s="4">
        <f t="shared" si="30"/>
        <v>0.99694249999999984</v>
      </c>
      <c r="J281" s="4">
        <f t="shared" si="31"/>
        <v>0.88957999999999982</v>
      </c>
      <c r="K281" s="4">
        <v>0.36559999999999998</v>
      </c>
      <c r="L281" s="4">
        <f t="shared" si="32"/>
        <v>0.63871999999999973</v>
      </c>
      <c r="M281" s="4">
        <f t="shared" si="33"/>
        <v>0.58750999999999975</v>
      </c>
      <c r="N281" s="4">
        <f t="shared" si="34"/>
        <v>0.50215999999999972</v>
      </c>
      <c r="O281" s="5">
        <v>0.2</v>
      </c>
      <c r="P281" s="6"/>
      <c r="Q281" s="6"/>
      <c r="R281" s="23" t="s">
        <v>348</v>
      </c>
      <c r="S281" s="24" t="s">
        <v>417</v>
      </c>
    </row>
    <row r="282" spans="1:19" x14ac:dyDescent="0.3">
      <c r="A282" s="19" t="str">
        <f t="shared" si="28"/>
        <v>01</v>
      </c>
      <c r="B282" s="20" t="s">
        <v>349</v>
      </c>
      <c r="C282" s="21" t="s">
        <v>350</v>
      </c>
      <c r="D282" s="21">
        <v>69039099</v>
      </c>
      <c r="E282" s="22">
        <v>43592</v>
      </c>
      <c r="F282" s="22">
        <v>45291</v>
      </c>
      <c r="G282" s="4">
        <v>0.71779999999999999</v>
      </c>
      <c r="H282" s="4">
        <f t="shared" si="29"/>
        <v>1.011082926829268</v>
      </c>
      <c r="I282" s="4">
        <f t="shared" si="30"/>
        <v>0.94823658536585342</v>
      </c>
      <c r="J282" s="4">
        <f t="shared" si="31"/>
        <v>0.843492682926829</v>
      </c>
      <c r="K282" s="4">
        <v>0.36559999999999998</v>
      </c>
      <c r="L282" s="4">
        <f t="shared" si="32"/>
        <v>0.5987512195121949</v>
      </c>
      <c r="M282" s="4">
        <f t="shared" si="33"/>
        <v>0.54879024390243858</v>
      </c>
      <c r="N282" s="4">
        <f t="shared" si="34"/>
        <v>0.4655219512195119</v>
      </c>
      <c r="O282" s="5">
        <v>0.18</v>
      </c>
      <c r="P282" s="6"/>
      <c r="Q282" s="6"/>
      <c r="R282" s="23" t="s">
        <v>351</v>
      </c>
      <c r="S282" s="24" t="s">
        <v>22</v>
      </c>
    </row>
    <row r="283" spans="1:19" x14ac:dyDescent="0.3">
      <c r="A283" s="19" t="str">
        <f t="shared" si="28"/>
        <v>01</v>
      </c>
      <c r="B283" s="20" t="s">
        <v>349</v>
      </c>
      <c r="C283" s="21" t="s">
        <v>350</v>
      </c>
      <c r="D283" s="21">
        <v>69039099</v>
      </c>
      <c r="E283" s="22">
        <v>45292</v>
      </c>
      <c r="F283" s="21"/>
      <c r="G283" s="4">
        <v>0.71779999999999999</v>
      </c>
      <c r="H283" s="4">
        <f t="shared" si="29"/>
        <v>1.0613599999999996</v>
      </c>
      <c r="I283" s="4">
        <f t="shared" si="30"/>
        <v>0.99694249999999984</v>
      </c>
      <c r="J283" s="4">
        <f t="shared" si="31"/>
        <v>0.88957999999999982</v>
      </c>
      <c r="K283" s="4">
        <v>0.36559999999999998</v>
      </c>
      <c r="L283" s="4">
        <f t="shared" si="32"/>
        <v>0.63871999999999973</v>
      </c>
      <c r="M283" s="4">
        <f t="shared" si="33"/>
        <v>0.58750999999999975</v>
      </c>
      <c r="N283" s="4">
        <f t="shared" si="34"/>
        <v>0.50215999999999972</v>
      </c>
      <c r="O283" s="5">
        <v>0.2</v>
      </c>
      <c r="P283" s="6"/>
      <c r="Q283" s="6"/>
      <c r="R283" s="23" t="s">
        <v>351</v>
      </c>
      <c r="S283" s="24" t="s">
        <v>417</v>
      </c>
    </row>
    <row r="284" spans="1:19" x14ac:dyDescent="0.3">
      <c r="A284" s="19" t="str">
        <f t="shared" si="28"/>
        <v>01</v>
      </c>
      <c r="B284" s="20" t="s">
        <v>352</v>
      </c>
      <c r="C284" s="21" t="s">
        <v>353</v>
      </c>
      <c r="D284" s="21">
        <v>70072900</v>
      </c>
      <c r="E284" s="22">
        <v>43592</v>
      </c>
      <c r="F284" s="22">
        <v>45291</v>
      </c>
      <c r="G284" s="4">
        <v>0.71779999999999999</v>
      </c>
      <c r="H284" s="4">
        <f t="shared" si="29"/>
        <v>1.011082926829268</v>
      </c>
      <c r="I284" s="4">
        <f t="shared" si="30"/>
        <v>0.94823658536585342</v>
      </c>
      <c r="J284" s="4">
        <f t="shared" si="31"/>
        <v>0.843492682926829</v>
      </c>
      <c r="K284" s="4">
        <v>0.36559999999999998</v>
      </c>
      <c r="L284" s="4">
        <f t="shared" si="32"/>
        <v>0.5987512195121949</v>
      </c>
      <c r="M284" s="4">
        <f t="shared" si="33"/>
        <v>0.54879024390243858</v>
      </c>
      <c r="N284" s="4">
        <f t="shared" si="34"/>
        <v>0.4655219512195119</v>
      </c>
      <c r="O284" s="5">
        <v>0.18</v>
      </c>
      <c r="P284" s="6"/>
      <c r="Q284" s="6"/>
      <c r="R284" s="23" t="s">
        <v>354</v>
      </c>
      <c r="S284" s="24" t="s">
        <v>22</v>
      </c>
    </row>
    <row r="285" spans="1:19" x14ac:dyDescent="0.3">
      <c r="A285" s="19" t="str">
        <f t="shared" si="28"/>
        <v>01</v>
      </c>
      <c r="B285" s="20" t="s">
        <v>352</v>
      </c>
      <c r="C285" s="21" t="s">
        <v>353</v>
      </c>
      <c r="D285" s="21">
        <v>70072900</v>
      </c>
      <c r="E285" s="22">
        <v>45292</v>
      </c>
      <c r="F285" s="21"/>
      <c r="G285" s="4">
        <v>0.71779999999999999</v>
      </c>
      <c r="H285" s="4">
        <f t="shared" si="29"/>
        <v>1.0613599999999996</v>
      </c>
      <c r="I285" s="4">
        <f t="shared" si="30"/>
        <v>0.99694249999999984</v>
      </c>
      <c r="J285" s="4">
        <f t="shared" si="31"/>
        <v>0.88957999999999982</v>
      </c>
      <c r="K285" s="4">
        <v>0.36559999999999998</v>
      </c>
      <c r="L285" s="4">
        <f t="shared" si="32"/>
        <v>0.63871999999999973</v>
      </c>
      <c r="M285" s="4">
        <f t="shared" si="33"/>
        <v>0.58750999999999975</v>
      </c>
      <c r="N285" s="4">
        <f t="shared" si="34"/>
        <v>0.50215999999999972</v>
      </c>
      <c r="O285" s="5">
        <v>0.2</v>
      </c>
      <c r="P285" s="6"/>
      <c r="Q285" s="6"/>
      <c r="R285" s="23" t="s">
        <v>354</v>
      </c>
      <c r="S285" s="24" t="s">
        <v>417</v>
      </c>
    </row>
    <row r="286" spans="1:19" x14ac:dyDescent="0.3">
      <c r="A286" s="19" t="str">
        <f t="shared" si="28"/>
        <v>01</v>
      </c>
      <c r="B286" s="20" t="s">
        <v>355</v>
      </c>
      <c r="C286" s="21" t="s">
        <v>356</v>
      </c>
      <c r="D286" s="21">
        <v>73145000</v>
      </c>
      <c r="E286" s="22">
        <v>43592</v>
      </c>
      <c r="F286" s="22">
        <v>45291</v>
      </c>
      <c r="G286" s="4">
        <v>0.71779999999999999</v>
      </c>
      <c r="H286" s="4">
        <f t="shared" si="29"/>
        <v>1.011082926829268</v>
      </c>
      <c r="I286" s="4">
        <f t="shared" si="30"/>
        <v>0.94823658536585342</v>
      </c>
      <c r="J286" s="4">
        <f t="shared" si="31"/>
        <v>0.843492682926829</v>
      </c>
      <c r="K286" s="4">
        <v>0.36559999999999998</v>
      </c>
      <c r="L286" s="4">
        <f t="shared" si="32"/>
        <v>0.5987512195121949</v>
      </c>
      <c r="M286" s="4">
        <f t="shared" si="33"/>
        <v>0.54879024390243858</v>
      </c>
      <c r="N286" s="4">
        <f t="shared" si="34"/>
        <v>0.4655219512195119</v>
      </c>
      <c r="O286" s="5">
        <v>0.18</v>
      </c>
      <c r="P286" s="6"/>
      <c r="Q286" s="6"/>
      <c r="R286" s="23" t="s">
        <v>357</v>
      </c>
      <c r="S286" s="24" t="s">
        <v>22</v>
      </c>
    </row>
    <row r="287" spans="1:19" x14ac:dyDescent="0.3">
      <c r="A287" s="19" t="str">
        <f t="shared" si="28"/>
        <v>01</v>
      </c>
      <c r="B287" s="20" t="s">
        <v>355</v>
      </c>
      <c r="C287" s="21" t="s">
        <v>356</v>
      </c>
      <c r="D287" s="21">
        <v>73145000</v>
      </c>
      <c r="E287" s="22">
        <v>45292</v>
      </c>
      <c r="F287" s="21"/>
      <c r="G287" s="4">
        <v>0.71779999999999999</v>
      </c>
      <c r="H287" s="4">
        <f t="shared" si="29"/>
        <v>1.0613599999999996</v>
      </c>
      <c r="I287" s="4">
        <f t="shared" si="30"/>
        <v>0.99694249999999984</v>
      </c>
      <c r="J287" s="4">
        <f t="shared" si="31"/>
        <v>0.88957999999999982</v>
      </c>
      <c r="K287" s="4">
        <v>0.36559999999999998</v>
      </c>
      <c r="L287" s="4">
        <f t="shared" si="32"/>
        <v>0.63871999999999973</v>
      </c>
      <c r="M287" s="4">
        <f t="shared" si="33"/>
        <v>0.58750999999999975</v>
      </c>
      <c r="N287" s="4">
        <f t="shared" si="34"/>
        <v>0.50215999999999972</v>
      </c>
      <c r="O287" s="5">
        <v>0.2</v>
      </c>
      <c r="P287" s="6"/>
      <c r="Q287" s="6"/>
      <c r="R287" s="23" t="s">
        <v>357</v>
      </c>
      <c r="S287" s="24" t="s">
        <v>417</v>
      </c>
    </row>
    <row r="288" spans="1:19" x14ac:dyDescent="0.3">
      <c r="A288" s="19" t="str">
        <f t="shared" si="28"/>
        <v>01</v>
      </c>
      <c r="B288" s="20" t="s">
        <v>358</v>
      </c>
      <c r="C288" s="21" t="s">
        <v>359</v>
      </c>
      <c r="D288" s="21">
        <v>73151100</v>
      </c>
      <c r="E288" s="22">
        <v>43592</v>
      </c>
      <c r="F288" s="22">
        <v>45291</v>
      </c>
      <c r="G288" s="4">
        <v>0.71779999999999999</v>
      </c>
      <c r="H288" s="4">
        <f t="shared" si="29"/>
        <v>1.011082926829268</v>
      </c>
      <c r="I288" s="4">
        <f t="shared" si="30"/>
        <v>0.94823658536585342</v>
      </c>
      <c r="J288" s="4">
        <f t="shared" si="31"/>
        <v>0.843492682926829</v>
      </c>
      <c r="K288" s="4">
        <v>0.36559999999999998</v>
      </c>
      <c r="L288" s="4">
        <f t="shared" si="32"/>
        <v>0.5987512195121949</v>
      </c>
      <c r="M288" s="4">
        <f t="shared" si="33"/>
        <v>0.54879024390243858</v>
      </c>
      <c r="N288" s="4">
        <f t="shared" si="34"/>
        <v>0.4655219512195119</v>
      </c>
      <c r="O288" s="5">
        <v>0.18</v>
      </c>
      <c r="P288" s="6"/>
      <c r="Q288" s="6"/>
      <c r="R288" s="23" t="s">
        <v>360</v>
      </c>
      <c r="S288" s="24" t="s">
        <v>22</v>
      </c>
    </row>
    <row r="289" spans="1:19" x14ac:dyDescent="0.3">
      <c r="A289" s="19" t="str">
        <f t="shared" si="28"/>
        <v>01</v>
      </c>
      <c r="B289" s="20" t="s">
        <v>358</v>
      </c>
      <c r="C289" s="21" t="s">
        <v>359</v>
      </c>
      <c r="D289" s="21">
        <v>73151100</v>
      </c>
      <c r="E289" s="22">
        <v>45292</v>
      </c>
      <c r="F289" s="21"/>
      <c r="G289" s="4">
        <v>0.71779999999999999</v>
      </c>
      <c r="H289" s="4">
        <f t="shared" si="29"/>
        <v>1.0613599999999996</v>
      </c>
      <c r="I289" s="4">
        <f t="shared" si="30"/>
        <v>0.99694249999999984</v>
      </c>
      <c r="J289" s="4">
        <f t="shared" si="31"/>
        <v>0.88957999999999982</v>
      </c>
      <c r="K289" s="4">
        <v>0.36559999999999998</v>
      </c>
      <c r="L289" s="4">
        <f t="shared" si="32"/>
        <v>0.63871999999999973</v>
      </c>
      <c r="M289" s="4">
        <f t="shared" si="33"/>
        <v>0.58750999999999975</v>
      </c>
      <c r="N289" s="4">
        <f t="shared" si="34"/>
        <v>0.50215999999999972</v>
      </c>
      <c r="O289" s="5">
        <v>0.2</v>
      </c>
      <c r="P289" s="6"/>
      <c r="Q289" s="6"/>
      <c r="R289" s="23" t="s">
        <v>360</v>
      </c>
      <c r="S289" s="24" t="s">
        <v>417</v>
      </c>
    </row>
    <row r="290" spans="1:19" x14ac:dyDescent="0.3">
      <c r="A290" s="19" t="str">
        <f t="shared" si="28"/>
        <v>01</v>
      </c>
      <c r="B290" s="20" t="s">
        <v>361</v>
      </c>
      <c r="C290" s="21" t="s">
        <v>362</v>
      </c>
      <c r="D290" s="21">
        <v>73151210</v>
      </c>
      <c r="E290" s="22">
        <v>43592</v>
      </c>
      <c r="F290" s="22">
        <v>45291</v>
      </c>
      <c r="G290" s="4">
        <v>0.71779999999999999</v>
      </c>
      <c r="H290" s="4">
        <f t="shared" si="29"/>
        <v>1.011082926829268</v>
      </c>
      <c r="I290" s="4">
        <f t="shared" si="30"/>
        <v>0.94823658536585342</v>
      </c>
      <c r="J290" s="4">
        <f t="shared" si="31"/>
        <v>0.843492682926829</v>
      </c>
      <c r="K290" s="4">
        <v>0.36559999999999998</v>
      </c>
      <c r="L290" s="4">
        <f t="shared" si="32"/>
        <v>0.5987512195121949</v>
      </c>
      <c r="M290" s="4">
        <f t="shared" si="33"/>
        <v>0.54879024390243858</v>
      </c>
      <c r="N290" s="4">
        <f t="shared" si="34"/>
        <v>0.4655219512195119</v>
      </c>
      <c r="O290" s="5">
        <v>0.18</v>
      </c>
      <c r="P290" s="6"/>
      <c r="Q290" s="6"/>
      <c r="R290" s="23" t="s">
        <v>363</v>
      </c>
      <c r="S290" s="24" t="s">
        <v>22</v>
      </c>
    </row>
    <row r="291" spans="1:19" x14ac:dyDescent="0.3">
      <c r="A291" s="19" t="str">
        <f t="shared" si="28"/>
        <v>01</v>
      </c>
      <c r="B291" s="20" t="s">
        <v>361</v>
      </c>
      <c r="C291" s="21" t="s">
        <v>362</v>
      </c>
      <c r="D291" s="21">
        <v>73151210</v>
      </c>
      <c r="E291" s="22">
        <v>45292</v>
      </c>
      <c r="F291" s="21"/>
      <c r="G291" s="4">
        <v>0.71779999999999999</v>
      </c>
      <c r="H291" s="4">
        <f t="shared" si="29"/>
        <v>1.0613599999999996</v>
      </c>
      <c r="I291" s="4">
        <f t="shared" si="30"/>
        <v>0.99694249999999984</v>
      </c>
      <c r="J291" s="4">
        <f t="shared" si="31"/>
        <v>0.88957999999999982</v>
      </c>
      <c r="K291" s="4">
        <v>0.36559999999999998</v>
      </c>
      <c r="L291" s="4">
        <f t="shared" si="32"/>
        <v>0.63871999999999973</v>
      </c>
      <c r="M291" s="4">
        <f t="shared" si="33"/>
        <v>0.58750999999999975</v>
      </c>
      <c r="N291" s="4">
        <f t="shared" si="34"/>
        <v>0.50215999999999972</v>
      </c>
      <c r="O291" s="5">
        <v>0.2</v>
      </c>
      <c r="P291" s="6"/>
      <c r="Q291" s="6"/>
      <c r="R291" s="23" t="s">
        <v>363</v>
      </c>
      <c r="S291" s="24" t="s">
        <v>417</v>
      </c>
    </row>
    <row r="292" spans="1:19" x14ac:dyDescent="0.3">
      <c r="A292" s="19" t="str">
        <f t="shared" si="28"/>
        <v>01</v>
      </c>
      <c r="B292" s="20" t="s">
        <v>364</v>
      </c>
      <c r="C292" s="21" t="s">
        <v>365</v>
      </c>
      <c r="D292" s="21">
        <v>84189900</v>
      </c>
      <c r="E292" s="22">
        <v>43592</v>
      </c>
      <c r="F292" s="22">
        <v>45291</v>
      </c>
      <c r="G292" s="4">
        <v>0.71779999999999999</v>
      </c>
      <c r="H292" s="4">
        <f t="shared" si="29"/>
        <v>1.011082926829268</v>
      </c>
      <c r="I292" s="4">
        <f t="shared" si="30"/>
        <v>0.94823658536585342</v>
      </c>
      <c r="J292" s="4">
        <f t="shared" si="31"/>
        <v>0.843492682926829</v>
      </c>
      <c r="K292" s="4">
        <v>0.36559999999999998</v>
      </c>
      <c r="L292" s="4">
        <f t="shared" si="32"/>
        <v>0.5987512195121949</v>
      </c>
      <c r="M292" s="4">
        <f t="shared" si="33"/>
        <v>0.54879024390243858</v>
      </c>
      <c r="N292" s="4">
        <f t="shared" si="34"/>
        <v>0.4655219512195119</v>
      </c>
      <c r="O292" s="5">
        <v>0.18</v>
      </c>
      <c r="P292" s="6"/>
      <c r="Q292" s="6"/>
      <c r="R292" s="23" t="s">
        <v>366</v>
      </c>
      <c r="S292" s="24" t="s">
        <v>22</v>
      </c>
    </row>
    <row r="293" spans="1:19" x14ac:dyDescent="0.3">
      <c r="A293" s="19" t="str">
        <f t="shared" si="28"/>
        <v>01</v>
      </c>
      <c r="B293" s="20" t="s">
        <v>364</v>
      </c>
      <c r="C293" s="21" t="s">
        <v>365</v>
      </c>
      <c r="D293" s="21">
        <v>84189900</v>
      </c>
      <c r="E293" s="22">
        <v>45292</v>
      </c>
      <c r="F293" s="21"/>
      <c r="G293" s="4">
        <v>0.71779999999999999</v>
      </c>
      <c r="H293" s="4">
        <f t="shared" si="29"/>
        <v>1.0613599999999996</v>
      </c>
      <c r="I293" s="4">
        <f t="shared" si="30"/>
        <v>0.99694249999999984</v>
      </c>
      <c r="J293" s="4">
        <f t="shared" si="31"/>
        <v>0.88957999999999982</v>
      </c>
      <c r="K293" s="4">
        <v>0.36559999999999998</v>
      </c>
      <c r="L293" s="4">
        <f t="shared" si="32"/>
        <v>0.63871999999999973</v>
      </c>
      <c r="M293" s="4">
        <f t="shared" si="33"/>
        <v>0.58750999999999975</v>
      </c>
      <c r="N293" s="4">
        <f t="shared" si="34"/>
        <v>0.50215999999999972</v>
      </c>
      <c r="O293" s="5">
        <v>0.2</v>
      </c>
      <c r="P293" s="6"/>
      <c r="Q293" s="6"/>
      <c r="R293" s="23" t="s">
        <v>366</v>
      </c>
      <c r="S293" s="24" t="s">
        <v>417</v>
      </c>
    </row>
    <row r="294" spans="1:19" x14ac:dyDescent="0.3">
      <c r="A294" s="19" t="str">
        <f t="shared" si="28"/>
        <v>01</v>
      </c>
      <c r="B294" s="20" t="s">
        <v>367</v>
      </c>
      <c r="C294" s="21" t="s">
        <v>368</v>
      </c>
      <c r="D294" s="21">
        <v>841950</v>
      </c>
      <c r="E294" s="22">
        <v>43592</v>
      </c>
      <c r="F294" s="22">
        <v>45291</v>
      </c>
      <c r="G294" s="4">
        <v>0.71779999999999999</v>
      </c>
      <c r="H294" s="4">
        <f t="shared" si="29"/>
        <v>1.011082926829268</v>
      </c>
      <c r="I294" s="4">
        <f t="shared" si="30"/>
        <v>0.94823658536585342</v>
      </c>
      <c r="J294" s="4">
        <f t="shared" si="31"/>
        <v>0.843492682926829</v>
      </c>
      <c r="K294" s="4">
        <v>0.36559999999999998</v>
      </c>
      <c r="L294" s="4">
        <f t="shared" si="32"/>
        <v>0.5987512195121949</v>
      </c>
      <c r="M294" s="4">
        <f t="shared" si="33"/>
        <v>0.54879024390243858</v>
      </c>
      <c r="N294" s="4">
        <f t="shared" si="34"/>
        <v>0.4655219512195119</v>
      </c>
      <c r="O294" s="5">
        <v>0.18</v>
      </c>
      <c r="P294" s="6"/>
      <c r="Q294" s="6"/>
      <c r="R294" s="23" t="s">
        <v>369</v>
      </c>
      <c r="S294" s="24" t="s">
        <v>22</v>
      </c>
    </row>
    <row r="295" spans="1:19" x14ac:dyDescent="0.3">
      <c r="A295" s="19" t="str">
        <f t="shared" si="28"/>
        <v>01</v>
      </c>
      <c r="B295" s="20" t="s">
        <v>367</v>
      </c>
      <c r="C295" s="21" t="s">
        <v>368</v>
      </c>
      <c r="D295" s="21">
        <v>841950</v>
      </c>
      <c r="E295" s="22">
        <v>45292</v>
      </c>
      <c r="F295" s="21"/>
      <c r="G295" s="4">
        <v>0.71779999999999999</v>
      </c>
      <c r="H295" s="4">
        <f t="shared" si="29"/>
        <v>1.0613599999999996</v>
      </c>
      <c r="I295" s="4">
        <f t="shared" si="30"/>
        <v>0.99694249999999984</v>
      </c>
      <c r="J295" s="4">
        <f t="shared" si="31"/>
        <v>0.88957999999999982</v>
      </c>
      <c r="K295" s="4">
        <v>0.36559999999999998</v>
      </c>
      <c r="L295" s="4">
        <f t="shared" si="32"/>
        <v>0.63871999999999973</v>
      </c>
      <c r="M295" s="4">
        <f t="shared" si="33"/>
        <v>0.58750999999999975</v>
      </c>
      <c r="N295" s="4">
        <f t="shared" si="34"/>
        <v>0.50215999999999972</v>
      </c>
      <c r="O295" s="5">
        <v>0.2</v>
      </c>
      <c r="P295" s="6"/>
      <c r="Q295" s="6"/>
      <c r="R295" s="23" t="s">
        <v>369</v>
      </c>
      <c r="S295" s="24" t="s">
        <v>417</v>
      </c>
    </row>
    <row r="296" spans="1:19" x14ac:dyDescent="0.3">
      <c r="A296" s="19" t="str">
        <f t="shared" si="28"/>
        <v>01</v>
      </c>
      <c r="B296" s="20" t="s">
        <v>370</v>
      </c>
      <c r="C296" s="21" t="s">
        <v>371</v>
      </c>
      <c r="D296" s="21">
        <v>84249090</v>
      </c>
      <c r="E296" s="22">
        <v>43592</v>
      </c>
      <c r="F296" s="22">
        <v>45291</v>
      </c>
      <c r="G296" s="4">
        <v>0.71779999999999999</v>
      </c>
      <c r="H296" s="4">
        <f t="shared" si="29"/>
        <v>1.011082926829268</v>
      </c>
      <c r="I296" s="4">
        <f t="shared" si="30"/>
        <v>0.94823658536585342</v>
      </c>
      <c r="J296" s="4">
        <f t="shared" si="31"/>
        <v>0.843492682926829</v>
      </c>
      <c r="K296" s="4">
        <v>0.36559999999999998</v>
      </c>
      <c r="L296" s="4">
        <f t="shared" si="32"/>
        <v>0.5987512195121949</v>
      </c>
      <c r="M296" s="4">
        <f t="shared" si="33"/>
        <v>0.54879024390243858</v>
      </c>
      <c r="N296" s="4">
        <f t="shared" si="34"/>
        <v>0.4655219512195119</v>
      </c>
      <c r="O296" s="5">
        <v>0.18</v>
      </c>
      <c r="P296" s="6"/>
      <c r="Q296" s="6"/>
      <c r="R296" s="23" t="s">
        <v>372</v>
      </c>
      <c r="S296" s="24" t="s">
        <v>22</v>
      </c>
    </row>
    <row r="297" spans="1:19" x14ac:dyDescent="0.3">
      <c r="A297" s="19" t="str">
        <f t="shared" si="28"/>
        <v>01</v>
      </c>
      <c r="B297" s="20" t="s">
        <v>370</v>
      </c>
      <c r="C297" s="21" t="s">
        <v>371</v>
      </c>
      <c r="D297" s="21">
        <v>84249090</v>
      </c>
      <c r="E297" s="22">
        <v>45292</v>
      </c>
      <c r="F297" s="21"/>
      <c r="G297" s="4">
        <v>0.71779999999999999</v>
      </c>
      <c r="H297" s="4">
        <f t="shared" si="29"/>
        <v>1.0613599999999996</v>
      </c>
      <c r="I297" s="4">
        <f t="shared" si="30"/>
        <v>0.99694249999999984</v>
      </c>
      <c r="J297" s="4">
        <f t="shared" si="31"/>
        <v>0.88957999999999982</v>
      </c>
      <c r="K297" s="4">
        <v>0.36559999999999998</v>
      </c>
      <c r="L297" s="4">
        <f t="shared" si="32"/>
        <v>0.63871999999999973</v>
      </c>
      <c r="M297" s="4">
        <f t="shared" si="33"/>
        <v>0.58750999999999975</v>
      </c>
      <c r="N297" s="4">
        <f t="shared" si="34"/>
        <v>0.50215999999999972</v>
      </c>
      <c r="O297" s="5">
        <v>0.2</v>
      </c>
      <c r="P297" s="6"/>
      <c r="Q297" s="6"/>
      <c r="R297" s="23" t="s">
        <v>372</v>
      </c>
      <c r="S297" s="24" t="s">
        <v>417</v>
      </c>
    </row>
    <row r="298" spans="1:19" x14ac:dyDescent="0.3">
      <c r="A298" s="19" t="str">
        <f t="shared" si="28"/>
        <v>01</v>
      </c>
      <c r="B298" s="20" t="s">
        <v>373</v>
      </c>
      <c r="C298" s="21" t="s">
        <v>374</v>
      </c>
      <c r="D298" s="21">
        <v>84254910</v>
      </c>
      <c r="E298" s="22">
        <v>43592</v>
      </c>
      <c r="F298" s="22">
        <v>45291</v>
      </c>
      <c r="G298" s="4">
        <v>0.71779999999999999</v>
      </c>
      <c r="H298" s="4">
        <f t="shared" si="29"/>
        <v>1.011082926829268</v>
      </c>
      <c r="I298" s="4">
        <f t="shared" si="30"/>
        <v>0.94823658536585342</v>
      </c>
      <c r="J298" s="4">
        <f t="shared" si="31"/>
        <v>0.843492682926829</v>
      </c>
      <c r="K298" s="4">
        <v>0.36559999999999998</v>
      </c>
      <c r="L298" s="4">
        <f t="shared" si="32"/>
        <v>0.5987512195121949</v>
      </c>
      <c r="M298" s="4">
        <f t="shared" si="33"/>
        <v>0.54879024390243858</v>
      </c>
      <c r="N298" s="4">
        <f t="shared" si="34"/>
        <v>0.4655219512195119</v>
      </c>
      <c r="O298" s="5">
        <v>0.18</v>
      </c>
      <c r="P298" s="6"/>
      <c r="Q298" s="6"/>
      <c r="R298" s="23" t="s">
        <v>375</v>
      </c>
      <c r="S298" s="24" t="s">
        <v>22</v>
      </c>
    </row>
    <row r="299" spans="1:19" x14ac:dyDescent="0.3">
      <c r="A299" s="19" t="str">
        <f t="shared" si="28"/>
        <v>01</v>
      </c>
      <c r="B299" s="20" t="s">
        <v>373</v>
      </c>
      <c r="C299" s="21" t="s">
        <v>374</v>
      </c>
      <c r="D299" s="21">
        <v>84254910</v>
      </c>
      <c r="E299" s="22">
        <v>45292</v>
      </c>
      <c r="F299" s="21"/>
      <c r="G299" s="4">
        <v>0.71779999999999999</v>
      </c>
      <c r="H299" s="4">
        <f t="shared" si="29"/>
        <v>1.0613599999999996</v>
      </c>
      <c r="I299" s="4">
        <f t="shared" si="30"/>
        <v>0.99694249999999984</v>
      </c>
      <c r="J299" s="4">
        <f t="shared" si="31"/>
        <v>0.88957999999999982</v>
      </c>
      <c r="K299" s="4">
        <v>0.36559999999999998</v>
      </c>
      <c r="L299" s="4">
        <f t="shared" si="32"/>
        <v>0.63871999999999973</v>
      </c>
      <c r="M299" s="4">
        <f t="shared" si="33"/>
        <v>0.58750999999999975</v>
      </c>
      <c r="N299" s="4">
        <f t="shared" si="34"/>
        <v>0.50215999999999972</v>
      </c>
      <c r="O299" s="5">
        <v>0.2</v>
      </c>
      <c r="P299" s="6"/>
      <c r="Q299" s="6"/>
      <c r="R299" s="23" t="s">
        <v>375</v>
      </c>
      <c r="S299" s="24" t="s">
        <v>417</v>
      </c>
    </row>
    <row r="300" spans="1:19" x14ac:dyDescent="0.3">
      <c r="A300" s="19" t="str">
        <f t="shared" si="28"/>
        <v>01</v>
      </c>
      <c r="B300" s="20" t="s">
        <v>376</v>
      </c>
      <c r="C300" s="21" t="s">
        <v>377</v>
      </c>
      <c r="D300" s="21">
        <v>84314100</v>
      </c>
      <c r="E300" s="22">
        <v>43592</v>
      </c>
      <c r="F300" s="22">
        <v>45291</v>
      </c>
      <c r="G300" s="4">
        <v>0.71779999999999999</v>
      </c>
      <c r="H300" s="4">
        <f t="shared" si="29"/>
        <v>1.011082926829268</v>
      </c>
      <c r="I300" s="4">
        <f t="shared" si="30"/>
        <v>0.94823658536585342</v>
      </c>
      <c r="J300" s="4">
        <f t="shared" si="31"/>
        <v>0.843492682926829</v>
      </c>
      <c r="K300" s="4">
        <v>0.36559999999999998</v>
      </c>
      <c r="L300" s="4">
        <f t="shared" si="32"/>
        <v>0.5987512195121949</v>
      </c>
      <c r="M300" s="4">
        <f t="shared" si="33"/>
        <v>0.54879024390243858</v>
      </c>
      <c r="N300" s="4">
        <f t="shared" si="34"/>
        <v>0.4655219512195119</v>
      </c>
      <c r="O300" s="5">
        <v>0.18</v>
      </c>
      <c r="P300" s="6"/>
      <c r="Q300" s="6"/>
      <c r="R300" s="23" t="s">
        <v>378</v>
      </c>
      <c r="S300" s="24" t="s">
        <v>22</v>
      </c>
    </row>
    <row r="301" spans="1:19" x14ac:dyDescent="0.3">
      <c r="A301" s="19" t="str">
        <f t="shared" si="28"/>
        <v>01</v>
      </c>
      <c r="B301" s="20" t="s">
        <v>376</v>
      </c>
      <c r="C301" s="21" t="s">
        <v>377</v>
      </c>
      <c r="D301" s="21">
        <v>84314100</v>
      </c>
      <c r="E301" s="22">
        <v>45292</v>
      </c>
      <c r="F301" s="21"/>
      <c r="G301" s="4">
        <v>0.71779999999999999</v>
      </c>
      <c r="H301" s="4">
        <f t="shared" si="29"/>
        <v>1.0613599999999996</v>
      </c>
      <c r="I301" s="4">
        <f t="shared" si="30"/>
        <v>0.99694249999999984</v>
      </c>
      <c r="J301" s="4">
        <f t="shared" si="31"/>
        <v>0.88957999999999982</v>
      </c>
      <c r="K301" s="4">
        <v>0.36559999999999998</v>
      </c>
      <c r="L301" s="4">
        <f t="shared" si="32"/>
        <v>0.63871999999999973</v>
      </c>
      <c r="M301" s="4">
        <f t="shared" si="33"/>
        <v>0.58750999999999975</v>
      </c>
      <c r="N301" s="4">
        <f t="shared" si="34"/>
        <v>0.50215999999999972</v>
      </c>
      <c r="O301" s="5">
        <v>0.2</v>
      </c>
      <c r="P301" s="6"/>
      <c r="Q301" s="6"/>
      <c r="R301" s="23" t="s">
        <v>378</v>
      </c>
      <c r="S301" s="24" t="s">
        <v>417</v>
      </c>
    </row>
    <row r="302" spans="1:19" x14ac:dyDescent="0.3">
      <c r="A302" s="19" t="str">
        <f t="shared" si="28"/>
        <v>01</v>
      </c>
      <c r="B302" s="20" t="s">
        <v>379</v>
      </c>
      <c r="C302" s="21" t="s">
        <v>380</v>
      </c>
      <c r="D302" s="21">
        <v>85016100</v>
      </c>
      <c r="E302" s="22">
        <v>43592</v>
      </c>
      <c r="F302" s="22">
        <v>45291</v>
      </c>
      <c r="G302" s="4">
        <v>0.71779999999999999</v>
      </c>
      <c r="H302" s="4">
        <f t="shared" si="29"/>
        <v>1.011082926829268</v>
      </c>
      <c r="I302" s="4">
        <f t="shared" si="30"/>
        <v>0.94823658536585342</v>
      </c>
      <c r="J302" s="4">
        <f t="shared" si="31"/>
        <v>0.843492682926829</v>
      </c>
      <c r="K302" s="4">
        <v>0.36559999999999998</v>
      </c>
      <c r="L302" s="4">
        <f t="shared" si="32"/>
        <v>0.5987512195121949</v>
      </c>
      <c r="M302" s="4">
        <f t="shared" si="33"/>
        <v>0.54879024390243858</v>
      </c>
      <c r="N302" s="4">
        <f t="shared" si="34"/>
        <v>0.4655219512195119</v>
      </c>
      <c r="O302" s="5">
        <v>0.18</v>
      </c>
      <c r="P302" s="6"/>
      <c r="Q302" s="6"/>
      <c r="R302" s="23" t="s">
        <v>381</v>
      </c>
      <c r="S302" s="24" t="s">
        <v>22</v>
      </c>
    </row>
    <row r="303" spans="1:19" x14ac:dyDescent="0.3">
      <c r="A303" s="19" t="str">
        <f t="shared" si="28"/>
        <v>01</v>
      </c>
      <c r="B303" s="20" t="s">
        <v>379</v>
      </c>
      <c r="C303" s="21" t="s">
        <v>380</v>
      </c>
      <c r="D303" s="21">
        <v>85016100</v>
      </c>
      <c r="E303" s="22">
        <v>45292</v>
      </c>
      <c r="F303" s="21"/>
      <c r="G303" s="4">
        <v>0.71779999999999999</v>
      </c>
      <c r="H303" s="4">
        <f t="shared" si="29"/>
        <v>1.0613599999999996</v>
      </c>
      <c r="I303" s="4">
        <f t="shared" si="30"/>
        <v>0.99694249999999984</v>
      </c>
      <c r="J303" s="4">
        <f t="shared" si="31"/>
        <v>0.88957999999999982</v>
      </c>
      <c r="K303" s="4">
        <v>0.36559999999999998</v>
      </c>
      <c r="L303" s="4">
        <f t="shared" si="32"/>
        <v>0.63871999999999973</v>
      </c>
      <c r="M303" s="4">
        <f t="shared" si="33"/>
        <v>0.58750999999999975</v>
      </c>
      <c r="N303" s="4">
        <f t="shared" si="34"/>
        <v>0.50215999999999972</v>
      </c>
      <c r="O303" s="5">
        <v>0.2</v>
      </c>
      <c r="P303" s="6"/>
      <c r="Q303" s="6"/>
      <c r="R303" s="23" t="s">
        <v>381</v>
      </c>
      <c r="S303" s="24" t="s">
        <v>417</v>
      </c>
    </row>
    <row r="304" spans="1:19" x14ac:dyDescent="0.3">
      <c r="A304" s="19" t="str">
        <f t="shared" si="28"/>
        <v>01</v>
      </c>
      <c r="B304" s="20" t="s">
        <v>382</v>
      </c>
      <c r="C304" s="21" t="s">
        <v>383</v>
      </c>
      <c r="D304" s="21">
        <v>85311090</v>
      </c>
      <c r="E304" s="22">
        <v>43592</v>
      </c>
      <c r="F304" s="22">
        <v>45291</v>
      </c>
      <c r="G304" s="4">
        <v>0.71779999999999999</v>
      </c>
      <c r="H304" s="4">
        <f t="shared" si="29"/>
        <v>1.011082926829268</v>
      </c>
      <c r="I304" s="4">
        <f t="shared" si="30"/>
        <v>0.94823658536585342</v>
      </c>
      <c r="J304" s="4">
        <f t="shared" si="31"/>
        <v>0.843492682926829</v>
      </c>
      <c r="K304" s="4">
        <v>0.36559999999999998</v>
      </c>
      <c r="L304" s="4">
        <f t="shared" si="32"/>
        <v>0.5987512195121949</v>
      </c>
      <c r="M304" s="4">
        <f t="shared" si="33"/>
        <v>0.54879024390243858</v>
      </c>
      <c r="N304" s="4">
        <f t="shared" si="34"/>
        <v>0.4655219512195119</v>
      </c>
      <c r="O304" s="5">
        <v>0.18</v>
      </c>
      <c r="P304" s="6"/>
      <c r="Q304" s="6"/>
      <c r="R304" s="23" t="s">
        <v>384</v>
      </c>
      <c r="S304" s="24" t="s">
        <v>22</v>
      </c>
    </row>
    <row r="305" spans="1:19" x14ac:dyDescent="0.3">
      <c r="A305" s="19" t="str">
        <f t="shared" si="28"/>
        <v>01</v>
      </c>
      <c r="B305" s="20" t="s">
        <v>382</v>
      </c>
      <c r="C305" s="21" t="s">
        <v>383</v>
      </c>
      <c r="D305" s="21">
        <v>85311090</v>
      </c>
      <c r="E305" s="22">
        <v>45292</v>
      </c>
      <c r="F305" s="21"/>
      <c r="G305" s="4">
        <v>0.71779999999999999</v>
      </c>
      <c r="H305" s="4">
        <f t="shared" si="29"/>
        <v>1.0613599999999996</v>
      </c>
      <c r="I305" s="4">
        <f t="shared" si="30"/>
        <v>0.99694249999999984</v>
      </c>
      <c r="J305" s="4">
        <f t="shared" si="31"/>
        <v>0.88957999999999982</v>
      </c>
      <c r="K305" s="4">
        <v>0.36559999999999998</v>
      </c>
      <c r="L305" s="4">
        <f t="shared" si="32"/>
        <v>0.63871999999999973</v>
      </c>
      <c r="M305" s="4">
        <f t="shared" si="33"/>
        <v>0.58750999999999975</v>
      </c>
      <c r="N305" s="4">
        <f t="shared" si="34"/>
        <v>0.50215999999999972</v>
      </c>
      <c r="O305" s="5">
        <v>0.2</v>
      </c>
      <c r="P305" s="6"/>
      <c r="Q305" s="6"/>
      <c r="R305" s="23" t="s">
        <v>384</v>
      </c>
      <c r="S305" s="24" t="s">
        <v>417</v>
      </c>
    </row>
    <row r="306" spans="1:19" x14ac:dyDescent="0.3">
      <c r="A306" s="19" t="str">
        <f t="shared" si="28"/>
        <v>01</v>
      </c>
      <c r="B306" s="20" t="s">
        <v>385</v>
      </c>
      <c r="C306" s="21" t="s">
        <v>386</v>
      </c>
      <c r="D306" s="21">
        <v>90141000</v>
      </c>
      <c r="E306" s="22">
        <v>43592</v>
      </c>
      <c r="F306" s="22">
        <v>45291</v>
      </c>
      <c r="G306" s="4">
        <v>0.71779999999999999</v>
      </c>
      <c r="H306" s="4">
        <f t="shared" si="29"/>
        <v>1.011082926829268</v>
      </c>
      <c r="I306" s="4">
        <f t="shared" si="30"/>
        <v>0.94823658536585342</v>
      </c>
      <c r="J306" s="4">
        <f t="shared" si="31"/>
        <v>0.843492682926829</v>
      </c>
      <c r="K306" s="4">
        <v>0.36559999999999998</v>
      </c>
      <c r="L306" s="4">
        <f t="shared" si="32"/>
        <v>0.5987512195121949</v>
      </c>
      <c r="M306" s="4">
        <f t="shared" si="33"/>
        <v>0.54879024390243858</v>
      </c>
      <c r="N306" s="4">
        <f t="shared" si="34"/>
        <v>0.4655219512195119</v>
      </c>
      <c r="O306" s="5">
        <v>0.18</v>
      </c>
      <c r="P306" s="6"/>
      <c r="Q306" s="6"/>
      <c r="R306" s="23" t="s">
        <v>387</v>
      </c>
      <c r="S306" s="24" t="s">
        <v>22</v>
      </c>
    </row>
    <row r="307" spans="1:19" x14ac:dyDescent="0.3">
      <c r="A307" s="19" t="str">
        <f t="shared" si="28"/>
        <v>01</v>
      </c>
      <c r="B307" s="20" t="s">
        <v>385</v>
      </c>
      <c r="C307" s="21" t="s">
        <v>386</v>
      </c>
      <c r="D307" s="21">
        <v>90141000</v>
      </c>
      <c r="E307" s="22">
        <v>45292</v>
      </c>
      <c r="F307" s="21"/>
      <c r="G307" s="4">
        <v>0.71779999999999999</v>
      </c>
      <c r="H307" s="4">
        <f t="shared" si="29"/>
        <v>1.0613599999999996</v>
      </c>
      <c r="I307" s="4">
        <f t="shared" si="30"/>
        <v>0.99694249999999984</v>
      </c>
      <c r="J307" s="4">
        <f t="shared" si="31"/>
        <v>0.88957999999999982</v>
      </c>
      <c r="K307" s="4">
        <v>0.36559999999999998</v>
      </c>
      <c r="L307" s="4">
        <f t="shared" si="32"/>
        <v>0.63871999999999973</v>
      </c>
      <c r="M307" s="4">
        <f t="shared" si="33"/>
        <v>0.58750999999999975</v>
      </c>
      <c r="N307" s="4">
        <f t="shared" si="34"/>
        <v>0.50215999999999972</v>
      </c>
      <c r="O307" s="5">
        <v>0.2</v>
      </c>
      <c r="P307" s="6"/>
      <c r="Q307" s="6"/>
      <c r="R307" s="23" t="s">
        <v>387</v>
      </c>
      <c r="S307" s="24" t="s">
        <v>417</v>
      </c>
    </row>
    <row r="308" spans="1:19" x14ac:dyDescent="0.3">
      <c r="A308" s="19" t="str">
        <f t="shared" si="28"/>
        <v>01</v>
      </c>
      <c r="B308" s="20" t="s">
        <v>388</v>
      </c>
      <c r="C308" s="21" t="s">
        <v>389</v>
      </c>
      <c r="D308" s="21">
        <v>90251990</v>
      </c>
      <c r="E308" s="22">
        <v>43592</v>
      </c>
      <c r="F308" s="22">
        <v>45291</v>
      </c>
      <c r="G308" s="4">
        <v>0.71779999999999999</v>
      </c>
      <c r="H308" s="4">
        <f t="shared" si="29"/>
        <v>1.011082926829268</v>
      </c>
      <c r="I308" s="4">
        <f t="shared" si="30"/>
        <v>0.94823658536585342</v>
      </c>
      <c r="J308" s="4">
        <f t="shared" si="31"/>
        <v>0.843492682926829</v>
      </c>
      <c r="K308" s="4">
        <v>0.36559999999999998</v>
      </c>
      <c r="L308" s="4">
        <f t="shared" si="32"/>
        <v>0.5987512195121949</v>
      </c>
      <c r="M308" s="4">
        <f t="shared" si="33"/>
        <v>0.54879024390243858</v>
      </c>
      <c r="N308" s="4">
        <f t="shared" si="34"/>
        <v>0.4655219512195119</v>
      </c>
      <c r="O308" s="5">
        <v>0.18</v>
      </c>
      <c r="P308" s="6"/>
      <c r="Q308" s="6"/>
      <c r="R308" s="23" t="s">
        <v>390</v>
      </c>
      <c r="S308" s="24" t="s">
        <v>22</v>
      </c>
    </row>
    <row r="309" spans="1:19" x14ac:dyDescent="0.3">
      <c r="A309" s="19" t="str">
        <f t="shared" si="28"/>
        <v>01</v>
      </c>
      <c r="B309" s="20" t="s">
        <v>388</v>
      </c>
      <c r="C309" s="21" t="s">
        <v>389</v>
      </c>
      <c r="D309" s="21">
        <v>90251990</v>
      </c>
      <c r="E309" s="22">
        <v>45292</v>
      </c>
      <c r="F309" s="21"/>
      <c r="G309" s="4">
        <v>0.71779999999999999</v>
      </c>
      <c r="H309" s="4">
        <f t="shared" si="29"/>
        <v>1.0613599999999996</v>
      </c>
      <c r="I309" s="4">
        <f t="shared" si="30"/>
        <v>0.99694249999999984</v>
      </c>
      <c r="J309" s="4">
        <f t="shared" si="31"/>
        <v>0.88957999999999982</v>
      </c>
      <c r="K309" s="4">
        <v>0.36559999999999998</v>
      </c>
      <c r="L309" s="4">
        <f t="shared" si="32"/>
        <v>0.63871999999999973</v>
      </c>
      <c r="M309" s="4">
        <f t="shared" si="33"/>
        <v>0.58750999999999975</v>
      </c>
      <c r="N309" s="4">
        <f t="shared" si="34"/>
        <v>0.50215999999999972</v>
      </c>
      <c r="O309" s="5">
        <v>0.2</v>
      </c>
      <c r="P309" s="6"/>
      <c r="Q309" s="6"/>
      <c r="R309" s="23" t="s">
        <v>390</v>
      </c>
      <c r="S309" s="24" t="s">
        <v>417</v>
      </c>
    </row>
    <row r="310" spans="1:19" x14ac:dyDescent="0.3">
      <c r="A310" s="19" t="str">
        <f t="shared" si="28"/>
        <v>01</v>
      </c>
      <c r="B310" s="20" t="s">
        <v>391</v>
      </c>
      <c r="C310" s="21" t="s">
        <v>392</v>
      </c>
      <c r="D310" s="21">
        <v>90259010</v>
      </c>
      <c r="E310" s="22">
        <v>43592</v>
      </c>
      <c r="F310" s="22">
        <v>45291</v>
      </c>
      <c r="G310" s="4">
        <v>0.71779999999999999</v>
      </c>
      <c r="H310" s="4">
        <f t="shared" si="29"/>
        <v>1.011082926829268</v>
      </c>
      <c r="I310" s="4">
        <f t="shared" si="30"/>
        <v>0.94823658536585342</v>
      </c>
      <c r="J310" s="4">
        <f t="shared" si="31"/>
        <v>0.843492682926829</v>
      </c>
      <c r="K310" s="4">
        <v>0.36559999999999998</v>
      </c>
      <c r="L310" s="4">
        <f t="shared" si="32"/>
        <v>0.5987512195121949</v>
      </c>
      <c r="M310" s="4">
        <f t="shared" si="33"/>
        <v>0.54879024390243858</v>
      </c>
      <c r="N310" s="4">
        <f t="shared" si="34"/>
        <v>0.4655219512195119</v>
      </c>
      <c r="O310" s="5">
        <v>0.18</v>
      </c>
      <c r="P310" s="6"/>
      <c r="Q310" s="6"/>
      <c r="R310" s="23" t="s">
        <v>393</v>
      </c>
      <c r="S310" s="24" t="s">
        <v>22</v>
      </c>
    </row>
    <row r="311" spans="1:19" x14ac:dyDescent="0.3">
      <c r="A311" s="19" t="str">
        <f t="shared" si="28"/>
        <v>01</v>
      </c>
      <c r="B311" s="20" t="s">
        <v>391</v>
      </c>
      <c r="C311" s="21" t="s">
        <v>392</v>
      </c>
      <c r="D311" s="21">
        <v>90259010</v>
      </c>
      <c r="E311" s="22">
        <v>45292</v>
      </c>
      <c r="F311" s="21"/>
      <c r="G311" s="4">
        <v>0.71779999999999999</v>
      </c>
      <c r="H311" s="4">
        <f t="shared" si="29"/>
        <v>1.0613599999999996</v>
      </c>
      <c r="I311" s="4">
        <f t="shared" si="30"/>
        <v>0.99694249999999984</v>
      </c>
      <c r="J311" s="4">
        <f t="shared" si="31"/>
        <v>0.88957999999999982</v>
      </c>
      <c r="K311" s="4">
        <v>0.36559999999999998</v>
      </c>
      <c r="L311" s="4">
        <f t="shared" si="32"/>
        <v>0.63871999999999973</v>
      </c>
      <c r="M311" s="4">
        <f t="shared" si="33"/>
        <v>0.58750999999999975</v>
      </c>
      <c r="N311" s="4">
        <f t="shared" si="34"/>
        <v>0.50215999999999972</v>
      </c>
      <c r="O311" s="5">
        <v>0.2</v>
      </c>
      <c r="P311" s="6"/>
      <c r="Q311" s="6"/>
      <c r="R311" s="23" t="s">
        <v>393</v>
      </c>
      <c r="S311" s="24" t="s">
        <v>417</v>
      </c>
    </row>
    <row r="312" spans="1:19" x14ac:dyDescent="0.3">
      <c r="A312" s="19" t="str">
        <f t="shared" si="28"/>
        <v>01</v>
      </c>
      <c r="B312" s="20" t="s">
        <v>394</v>
      </c>
      <c r="C312" s="21" t="s">
        <v>395</v>
      </c>
      <c r="D312" s="21">
        <v>902690</v>
      </c>
      <c r="E312" s="22">
        <v>43592</v>
      </c>
      <c r="F312" s="22">
        <v>45291</v>
      </c>
      <c r="G312" s="4">
        <v>0.71779999999999999</v>
      </c>
      <c r="H312" s="4">
        <f t="shared" si="29"/>
        <v>1.011082926829268</v>
      </c>
      <c r="I312" s="4">
        <f t="shared" si="30"/>
        <v>0.94823658536585342</v>
      </c>
      <c r="J312" s="4">
        <f t="shared" si="31"/>
        <v>0.843492682926829</v>
      </c>
      <c r="K312" s="4">
        <v>0.36559999999999998</v>
      </c>
      <c r="L312" s="4">
        <f t="shared" si="32"/>
        <v>0.5987512195121949</v>
      </c>
      <c r="M312" s="4">
        <f t="shared" si="33"/>
        <v>0.54879024390243858</v>
      </c>
      <c r="N312" s="4">
        <f t="shared" si="34"/>
        <v>0.4655219512195119</v>
      </c>
      <c r="O312" s="5">
        <v>0.18</v>
      </c>
      <c r="P312" s="6"/>
      <c r="Q312" s="6"/>
      <c r="R312" s="23" t="s">
        <v>396</v>
      </c>
      <c r="S312" s="24" t="s">
        <v>22</v>
      </c>
    </row>
    <row r="313" spans="1:19" x14ac:dyDescent="0.3">
      <c r="A313" s="19" t="str">
        <f t="shared" si="28"/>
        <v>01</v>
      </c>
      <c r="B313" s="20" t="s">
        <v>394</v>
      </c>
      <c r="C313" s="21" t="s">
        <v>395</v>
      </c>
      <c r="D313" s="21">
        <v>902690</v>
      </c>
      <c r="E313" s="22">
        <v>45292</v>
      </c>
      <c r="F313" s="21"/>
      <c r="G313" s="4">
        <v>0.71779999999999999</v>
      </c>
      <c r="H313" s="4">
        <f t="shared" si="29"/>
        <v>1.0613599999999996</v>
      </c>
      <c r="I313" s="4">
        <f t="shared" si="30"/>
        <v>0.99694249999999984</v>
      </c>
      <c r="J313" s="4">
        <f t="shared" si="31"/>
        <v>0.88957999999999982</v>
      </c>
      <c r="K313" s="4">
        <v>0.36559999999999998</v>
      </c>
      <c r="L313" s="4">
        <f t="shared" si="32"/>
        <v>0.63871999999999973</v>
      </c>
      <c r="M313" s="4">
        <f t="shared" si="33"/>
        <v>0.58750999999999975</v>
      </c>
      <c r="N313" s="4">
        <f t="shared" si="34"/>
        <v>0.50215999999999972</v>
      </c>
      <c r="O313" s="5">
        <v>0.2</v>
      </c>
      <c r="P313" s="6"/>
      <c r="Q313" s="6"/>
      <c r="R313" s="23" t="s">
        <v>396</v>
      </c>
      <c r="S313" s="24" t="s">
        <v>417</v>
      </c>
    </row>
    <row r="314" spans="1:19" x14ac:dyDescent="0.3">
      <c r="A314" s="19" t="str">
        <f t="shared" si="28"/>
        <v>01</v>
      </c>
      <c r="B314" s="20" t="s">
        <v>397</v>
      </c>
      <c r="C314" s="21" t="s">
        <v>398</v>
      </c>
      <c r="D314" s="21">
        <v>90321010</v>
      </c>
      <c r="E314" s="22">
        <v>43592</v>
      </c>
      <c r="F314" s="22">
        <v>45291</v>
      </c>
      <c r="G314" s="4">
        <v>0.71779999999999999</v>
      </c>
      <c r="H314" s="4">
        <f t="shared" si="29"/>
        <v>1.011082926829268</v>
      </c>
      <c r="I314" s="4">
        <f t="shared" si="30"/>
        <v>0.94823658536585342</v>
      </c>
      <c r="J314" s="4">
        <f t="shared" si="31"/>
        <v>0.843492682926829</v>
      </c>
      <c r="K314" s="4">
        <v>0.36559999999999998</v>
      </c>
      <c r="L314" s="4">
        <f t="shared" si="32"/>
        <v>0.5987512195121949</v>
      </c>
      <c r="M314" s="4">
        <f t="shared" si="33"/>
        <v>0.54879024390243858</v>
      </c>
      <c r="N314" s="4">
        <f t="shared" si="34"/>
        <v>0.4655219512195119</v>
      </c>
      <c r="O314" s="5">
        <v>0.18</v>
      </c>
      <c r="P314" s="6"/>
      <c r="Q314" s="6"/>
      <c r="R314" s="23" t="s">
        <v>399</v>
      </c>
      <c r="S314" s="24" t="s">
        <v>22</v>
      </c>
    </row>
    <row r="315" spans="1:19" x14ac:dyDescent="0.3">
      <c r="A315" s="19" t="str">
        <f t="shared" si="28"/>
        <v>01</v>
      </c>
      <c r="B315" s="20" t="s">
        <v>397</v>
      </c>
      <c r="C315" s="21" t="s">
        <v>398</v>
      </c>
      <c r="D315" s="21">
        <v>90321010</v>
      </c>
      <c r="E315" s="22">
        <v>45292</v>
      </c>
      <c r="F315" s="21"/>
      <c r="G315" s="4">
        <v>0.71779999999999999</v>
      </c>
      <c r="H315" s="4">
        <f t="shared" si="29"/>
        <v>1.0613599999999996</v>
      </c>
      <c r="I315" s="4">
        <f t="shared" si="30"/>
        <v>0.99694249999999984</v>
      </c>
      <c r="J315" s="4">
        <f t="shared" si="31"/>
        <v>0.88957999999999982</v>
      </c>
      <c r="K315" s="4">
        <v>0.36559999999999998</v>
      </c>
      <c r="L315" s="4">
        <f t="shared" si="32"/>
        <v>0.63871999999999973</v>
      </c>
      <c r="M315" s="4">
        <f t="shared" si="33"/>
        <v>0.58750999999999975</v>
      </c>
      <c r="N315" s="4">
        <f t="shared" si="34"/>
        <v>0.50215999999999972</v>
      </c>
      <c r="O315" s="5">
        <v>0.2</v>
      </c>
      <c r="P315" s="6"/>
      <c r="Q315" s="6"/>
      <c r="R315" s="23" t="s">
        <v>399</v>
      </c>
      <c r="S315" s="24" t="s">
        <v>417</v>
      </c>
    </row>
    <row r="316" spans="1:19" x14ac:dyDescent="0.3">
      <c r="A316" s="19" t="str">
        <f t="shared" si="28"/>
        <v>01</v>
      </c>
      <c r="B316" s="20" t="s">
        <v>400</v>
      </c>
      <c r="C316" s="21" t="s">
        <v>401</v>
      </c>
      <c r="D316" s="21">
        <v>90321090</v>
      </c>
      <c r="E316" s="22">
        <v>43592</v>
      </c>
      <c r="F316" s="22">
        <v>45291</v>
      </c>
      <c r="G316" s="4">
        <v>0.71779999999999999</v>
      </c>
      <c r="H316" s="4">
        <f t="shared" si="29"/>
        <v>1.011082926829268</v>
      </c>
      <c r="I316" s="4">
        <f t="shared" si="30"/>
        <v>0.94823658536585342</v>
      </c>
      <c r="J316" s="4">
        <f t="shared" si="31"/>
        <v>0.843492682926829</v>
      </c>
      <c r="K316" s="4">
        <v>0.36559999999999998</v>
      </c>
      <c r="L316" s="4">
        <f t="shared" si="32"/>
        <v>0.5987512195121949</v>
      </c>
      <c r="M316" s="4">
        <f t="shared" si="33"/>
        <v>0.54879024390243858</v>
      </c>
      <c r="N316" s="4">
        <f t="shared" si="34"/>
        <v>0.4655219512195119</v>
      </c>
      <c r="O316" s="5">
        <v>0.18</v>
      </c>
      <c r="P316" s="6"/>
      <c r="Q316" s="6"/>
      <c r="R316" s="23" t="s">
        <v>402</v>
      </c>
      <c r="S316" s="24" t="s">
        <v>22</v>
      </c>
    </row>
    <row r="317" spans="1:19" x14ac:dyDescent="0.3">
      <c r="A317" s="19" t="str">
        <f t="shared" si="28"/>
        <v>01</v>
      </c>
      <c r="B317" s="20" t="s">
        <v>400</v>
      </c>
      <c r="C317" s="21" t="s">
        <v>401</v>
      </c>
      <c r="D317" s="21">
        <v>90321090</v>
      </c>
      <c r="E317" s="22">
        <v>45292</v>
      </c>
      <c r="F317" s="21"/>
      <c r="G317" s="4">
        <v>0.71779999999999999</v>
      </c>
      <c r="H317" s="4">
        <f t="shared" si="29"/>
        <v>1.0613599999999996</v>
      </c>
      <c r="I317" s="4">
        <f t="shared" si="30"/>
        <v>0.99694249999999984</v>
      </c>
      <c r="J317" s="4">
        <f t="shared" si="31"/>
        <v>0.88957999999999982</v>
      </c>
      <c r="K317" s="4">
        <v>0.36559999999999998</v>
      </c>
      <c r="L317" s="4">
        <f t="shared" si="32"/>
        <v>0.63871999999999973</v>
      </c>
      <c r="M317" s="4">
        <f t="shared" si="33"/>
        <v>0.58750999999999975</v>
      </c>
      <c r="N317" s="4">
        <f t="shared" si="34"/>
        <v>0.50215999999999972</v>
      </c>
      <c r="O317" s="5">
        <v>0.2</v>
      </c>
      <c r="P317" s="6"/>
      <c r="Q317" s="6"/>
      <c r="R317" s="23" t="s">
        <v>402</v>
      </c>
      <c r="S317" s="24" t="s">
        <v>417</v>
      </c>
    </row>
    <row r="318" spans="1:19" x14ac:dyDescent="0.3">
      <c r="A318" s="19" t="str">
        <f t="shared" si="28"/>
        <v>01</v>
      </c>
      <c r="B318" s="20" t="s">
        <v>403</v>
      </c>
      <c r="C318" s="21" t="s">
        <v>404</v>
      </c>
      <c r="D318" s="21">
        <v>90322000</v>
      </c>
      <c r="E318" s="22">
        <v>43592</v>
      </c>
      <c r="F318" s="22">
        <v>45291</v>
      </c>
      <c r="G318" s="4">
        <v>0.71779999999999999</v>
      </c>
      <c r="H318" s="4">
        <f t="shared" si="29"/>
        <v>1.011082926829268</v>
      </c>
      <c r="I318" s="4">
        <f t="shared" si="30"/>
        <v>0.94823658536585342</v>
      </c>
      <c r="J318" s="4">
        <f t="shared" si="31"/>
        <v>0.843492682926829</v>
      </c>
      <c r="K318" s="4">
        <v>0.36559999999999998</v>
      </c>
      <c r="L318" s="4">
        <f t="shared" si="32"/>
        <v>0.5987512195121949</v>
      </c>
      <c r="M318" s="4">
        <f t="shared" si="33"/>
        <v>0.54879024390243858</v>
      </c>
      <c r="N318" s="4">
        <f t="shared" si="34"/>
        <v>0.4655219512195119</v>
      </c>
      <c r="O318" s="5">
        <v>0.18</v>
      </c>
      <c r="P318" s="6"/>
      <c r="Q318" s="6"/>
      <c r="R318" s="23" t="s">
        <v>405</v>
      </c>
      <c r="S318" s="24" t="s">
        <v>22</v>
      </c>
    </row>
    <row r="319" spans="1:19" x14ac:dyDescent="0.3">
      <c r="A319" s="19" t="str">
        <f t="shared" si="28"/>
        <v>01</v>
      </c>
      <c r="B319" s="20" t="s">
        <v>403</v>
      </c>
      <c r="C319" s="21" t="s">
        <v>404</v>
      </c>
      <c r="D319" s="21">
        <v>90322000</v>
      </c>
      <c r="E319" s="22">
        <v>45292</v>
      </c>
      <c r="F319" s="21"/>
      <c r="G319" s="4">
        <v>0.71779999999999999</v>
      </c>
      <c r="H319" s="4">
        <f t="shared" si="29"/>
        <v>1.0613599999999996</v>
      </c>
      <c r="I319" s="4">
        <f t="shared" si="30"/>
        <v>0.99694249999999984</v>
      </c>
      <c r="J319" s="4">
        <f t="shared" si="31"/>
        <v>0.88957999999999982</v>
      </c>
      <c r="K319" s="4">
        <v>0.36559999999999998</v>
      </c>
      <c r="L319" s="4">
        <f t="shared" si="32"/>
        <v>0.63871999999999973</v>
      </c>
      <c r="M319" s="4">
        <f t="shared" si="33"/>
        <v>0.58750999999999975</v>
      </c>
      <c r="N319" s="4">
        <f t="shared" si="34"/>
        <v>0.50215999999999972</v>
      </c>
      <c r="O319" s="5">
        <v>0.2</v>
      </c>
      <c r="P319" s="6"/>
      <c r="Q319" s="6"/>
      <c r="R319" s="23" t="s">
        <v>405</v>
      </c>
      <c r="S319" s="24" t="s">
        <v>417</v>
      </c>
    </row>
    <row r="320" spans="1:19" x14ac:dyDescent="0.3">
      <c r="A320" s="19" t="str">
        <f t="shared" si="28"/>
        <v>01</v>
      </c>
      <c r="B320" s="20" t="s">
        <v>406</v>
      </c>
      <c r="C320" s="21" t="s">
        <v>407</v>
      </c>
      <c r="D320" s="21">
        <v>871690</v>
      </c>
      <c r="E320" s="22">
        <v>43592</v>
      </c>
      <c r="F320" s="22">
        <v>45291</v>
      </c>
      <c r="G320" s="4">
        <v>0.71779999999999999</v>
      </c>
      <c r="H320" s="4">
        <f t="shared" si="29"/>
        <v>1.011082926829268</v>
      </c>
      <c r="I320" s="4">
        <f t="shared" si="30"/>
        <v>0.94823658536585342</v>
      </c>
      <c r="J320" s="4">
        <f t="shared" si="31"/>
        <v>0.843492682926829</v>
      </c>
      <c r="K320" s="4">
        <v>0.36559999999999998</v>
      </c>
      <c r="L320" s="4">
        <f t="shared" si="32"/>
        <v>0.5987512195121949</v>
      </c>
      <c r="M320" s="4">
        <f t="shared" si="33"/>
        <v>0.54879024390243858</v>
      </c>
      <c r="N320" s="4">
        <f t="shared" si="34"/>
        <v>0.4655219512195119</v>
      </c>
      <c r="O320" s="5">
        <v>0.18</v>
      </c>
      <c r="P320" s="6"/>
      <c r="Q320" s="6"/>
      <c r="R320" s="23" t="s">
        <v>408</v>
      </c>
      <c r="S320" s="24" t="s">
        <v>22</v>
      </c>
    </row>
    <row r="321" spans="1:19" x14ac:dyDescent="0.3">
      <c r="A321" s="19" t="str">
        <f t="shared" si="28"/>
        <v>01</v>
      </c>
      <c r="B321" s="20" t="s">
        <v>406</v>
      </c>
      <c r="C321" s="21" t="s">
        <v>407</v>
      </c>
      <c r="D321" s="21">
        <v>871690</v>
      </c>
      <c r="E321" s="22">
        <v>45292</v>
      </c>
      <c r="F321" s="21"/>
      <c r="G321" s="4">
        <v>0.71779999999999999</v>
      </c>
      <c r="H321" s="4">
        <f t="shared" si="29"/>
        <v>1.0613599999999996</v>
      </c>
      <c r="I321" s="4">
        <f t="shared" si="30"/>
        <v>0.99694249999999984</v>
      </c>
      <c r="J321" s="4">
        <f t="shared" si="31"/>
        <v>0.88957999999999982</v>
      </c>
      <c r="K321" s="4">
        <v>0.36559999999999998</v>
      </c>
      <c r="L321" s="4">
        <f t="shared" si="32"/>
        <v>0.63871999999999973</v>
      </c>
      <c r="M321" s="4">
        <f t="shared" si="33"/>
        <v>0.58750999999999975</v>
      </c>
      <c r="N321" s="4">
        <f t="shared" si="34"/>
        <v>0.50215999999999972</v>
      </c>
      <c r="O321" s="5">
        <v>0.2</v>
      </c>
      <c r="P321" s="6"/>
      <c r="Q321" s="6"/>
      <c r="R321" s="23" t="s">
        <v>408</v>
      </c>
      <c r="S321" s="24" t="s">
        <v>417</v>
      </c>
    </row>
    <row r="322" spans="1:19" x14ac:dyDescent="0.3">
      <c r="A322" s="19" t="str">
        <f t="shared" si="28"/>
        <v>01</v>
      </c>
      <c r="B322" s="20" t="s">
        <v>409</v>
      </c>
      <c r="C322" s="21" t="s">
        <v>410</v>
      </c>
      <c r="D322" s="21">
        <v>73229010</v>
      </c>
      <c r="E322" s="22">
        <v>43592</v>
      </c>
      <c r="F322" s="22">
        <v>45291</v>
      </c>
      <c r="G322" s="4">
        <v>0.71779999999999999</v>
      </c>
      <c r="H322" s="4">
        <f t="shared" si="29"/>
        <v>1.011082926829268</v>
      </c>
      <c r="I322" s="4">
        <f t="shared" si="30"/>
        <v>0.94823658536585342</v>
      </c>
      <c r="J322" s="4">
        <f t="shared" si="31"/>
        <v>0.843492682926829</v>
      </c>
      <c r="K322" s="4">
        <v>0.36559999999999998</v>
      </c>
      <c r="L322" s="4">
        <f t="shared" si="32"/>
        <v>0.5987512195121949</v>
      </c>
      <c r="M322" s="4">
        <f t="shared" si="33"/>
        <v>0.54879024390243858</v>
      </c>
      <c r="N322" s="4">
        <f t="shared" si="34"/>
        <v>0.4655219512195119</v>
      </c>
      <c r="O322" s="5">
        <v>0.18</v>
      </c>
      <c r="P322" s="6"/>
      <c r="Q322" s="6"/>
      <c r="R322" s="23" t="s">
        <v>411</v>
      </c>
      <c r="S322" s="24" t="s">
        <v>22</v>
      </c>
    </row>
    <row r="323" spans="1:19" x14ac:dyDescent="0.3">
      <c r="A323" s="19" t="str">
        <f t="shared" si="28"/>
        <v>01</v>
      </c>
      <c r="B323" s="20" t="s">
        <v>409</v>
      </c>
      <c r="C323" s="21" t="s">
        <v>410</v>
      </c>
      <c r="D323" s="21">
        <v>73229010</v>
      </c>
      <c r="E323" s="22">
        <v>45292</v>
      </c>
      <c r="F323" s="21"/>
      <c r="G323" s="4">
        <v>0.71779999999999999</v>
      </c>
      <c r="H323" s="4">
        <f t="shared" si="29"/>
        <v>1.0613599999999996</v>
      </c>
      <c r="I323" s="4">
        <f t="shared" si="30"/>
        <v>0.99694249999999984</v>
      </c>
      <c r="J323" s="4">
        <f t="shared" si="31"/>
        <v>0.88957999999999982</v>
      </c>
      <c r="K323" s="4">
        <v>0.36559999999999998</v>
      </c>
      <c r="L323" s="4">
        <f t="shared" si="32"/>
        <v>0.63871999999999973</v>
      </c>
      <c r="M323" s="4">
        <f t="shared" si="33"/>
        <v>0.58750999999999975</v>
      </c>
      <c r="N323" s="4">
        <f t="shared" si="34"/>
        <v>0.50215999999999972</v>
      </c>
      <c r="O323" s="5">
        <v>0.2</v>
      </c>
      <c r="P323" s="6"/>
      <c r="Q323" s="6"/>
      <c r="R323" s="23" t="s">
        <v>411</v>
      </c>
      <c r="S323" s="24" t="s">
        <v>417</v>
      </c>
    </row>
    <row r="324" spans="1:19" x14ac:dyDescent="0.3">
      <c r="A324" s="19" t="str">
        <f t="shared" si="28"/>
        <v>01</v>
      </c>
      <c r="B324" s="32" t="s">
        <v>412</v>
      </c>
      <c r="C324" s="33" t="s">
        <v>413</v>
      </c>
      <c r="D324" s="33"/>
      <c r="E324" s="34">
        <v>43592</v>
      </c>
      <c r="F324" s="22">
        <v>45291</v>
      </c>
      <c r="G324" s="7">
        <v>0.71779999999999999</v>
      </c>
      <c r="H324" s="4">
        <f t="shared" si="29"/>
        <v>1.011082926829268</v>
      </c>
      <c r="I324" s="4">
        <f t="shared" si="30"/>
        <v>0.94823658536585342</v>
      </c>
      <c r="J324" s="4">
        <f t="shared" si="31"/>
        <v>0.843492682926829</v>
      </c>
      <c r="K324" s="7">
        <v>0.36559999999999998</v>
      </c>
      <c r="L324" s="4">
        <f t="shared" si="32"/>
        <v>0.5987512195121949</v>
      </c>
      <c r="M324" s="4">
        <f t="shared" si="33"/>
        <v>0.54879024390243858</v>
      </c>
      <c r="N324" s="4">
        <f t="shared" si="34"/>
        <v>0.4655219512195119</v>
      </c>
      <c r="O324" s="8">
        <v>0.18</v>
      </c>
      <c r="P324" s="9"/>
      <c r="Q324" s="9"/>
      <c r="R324" s="35" t="s">
        <v>414</v>
      </c>
      <c r="S324" s="24" t="s">
        <v>22</v>
      </c>
    </row>
    <row r="325" spans="1:19" x14ac:dyDescent="0.3">
      <c r="A325" s="19" t="str">
        <f t="shared" si="28"/>
        <v>01</v>
      </c>
      <c r="B325" s="32" t="s">
        <v>412</v>
      </c>
      <c r="C325" s="33" t="s">
        <v>413</v>
      </c>
      <c r="D325" s="33"/>
      <c r="E325" s="22">
        <v>45292</v>
      </c>
      <c r="F325" s="33"/>
      <c r="G325" s="7">
        <v>0.71779999999999999</v>
      </c>
      <c r="H325" s="4">
        <f t="shared" si="29"/>
        <v>1.0613599999999996</v>
      </c>
      <c r="I325" s="4">
        <f t="shared" si="30"/>
        <v>0.99694249999999984</v>
      </c>
      <c r="J325" s="4">
        <f t="shared" si="31"/>
        <v>0.88957999999999982</v>
      </c>
      <c r="K325" s="7">
        <v>0.36559999999999998</v>
      </c>
      <c r="L325" s="4">
        <f t="shared" si="32"/>
        <v>0.63871999999999973</v>
      </c>
      <c r="M325" s="4">
        <f t="shared" si="33"/>
        <v>0.58750999999999975</v>
      </c>
      <c r="N325" s="4">
        <f t="shared" si="34"/>
        <v>0.50215999999999972</v>
      </c>
      <c r="O325" s="5">
        <v>0.2</v>
      </c>
      <c r="P325" s="9"/>
      <c r="Q325" s="9"/>
      <c r="R325" s="35" t="s">
        <v>414</v>
      </c>
      <c r="S325" s="24" t="s">
        <v>417</v>
      </c>
    </row>
  </sheetData>
  <sheetProtection password="F150" sheet="1" objects="1" scenarios="1"/>
  <sortState ref="A2:T325">
    <sortCondition ref="C2:C325"/>
    <sortCondition ref="D2:D325"/>
    <sortCondition ref="E2:E325"/>
  </sortState>
  <pageMargins left="0.51181102362204722" right="0.51181102362204722" top="0.78740157480314965" bottom="0.78740157480314965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AutoPecas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2019-07-04T13:22:55Z</dcterms:created>
  <dcterms:modified xsi:type="dcterms:W3CDTF">2025-02-27T12:15:13Z</dcterms:modified>
</cp:coreProperties>
</file>