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10" windowWidth="19420" windowHeight="11020"/>
  </bookViews>
  <sheets>
    <sheet name="Racoes" sheetId="1" r:id="rId1"/>
  </sheets>
  <calcPr calcId="145621"/>
</workbook>
</file>

<file path=xl/calcChain.xml><?xml version="1.0" encoding="utf-8"?>
<calcChain xmlns="http://schemas.openxmlformats.org/spreadsheetml/2006/main">
  <c r="A3" i="1" l="1"/>
  <c r="H3" i="1"/>
  <c r="I3" i="1"/>
  <c r="J3" i="1"/>
  <c r="J2" i="1" l="1"/>
  <c r="I2" i="1"/>
  <c r="H2" i="1"/>
  <c r="A2" i="1"/>
</calcChain>
</file>

<file path=xl/sharedStrings.xml><?xml version="1.0" encoding="utf-8"?>
<sst xmlns="http://schemas.openxmlformats.org/spreadsheetml/2006/main" count="23" uniqueCount="20">
  <si>
    <t>Tabela CEST</t>
  </si>
  <si>
    <t>CEST</t>
  </si>
  <si>
    <t>NCM/SH</t>
  </si>
  <si>
    <t>Vigência inicial</t>
  </si>
  <si>
    <t>Vigência final</t>
  </si>
  <si>
    <t>MVA  Original</t>
  </si>
  <si>
    <t>MVA Aliq 4%</t>
  </si>
  <si>
    <t>MVA Aliq 7%</t>
  </si>
  <si>
    <t>MVA Aliq 12%</t>
  </si>
  <si>
    <t>Aliq Interna</t>
  </si>
  <si>
    <t>Funcep</t>
  </si>
  <si>
    <t>Pauta Fiscal</t>
  </si>
  <si>
    <t>DESCRIÇÃO</t>
  </si>
  <si>
    <t>Legislação</t>
  </si>
  <si>
    <t>1.0</t>
  </si>
  <si>
    <t>22.001.00</t>
  </si>
  <si>
    <t>Ração tipo “pet” para animais domésticos</t>
  </si>
  <si>
    <t>DECRETO ICMS/PB Nº 39.158</t>
  </si>
  <si>
    <t>ITEM</t>
  </si>
  <si>
    <t>DECRETO ICMS/PB Nº 44.681/23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</si>
</sst>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justify" vertical="center" wrapText="1"/>
    </xf>
    <xf numFmtId="14" fontId="2" fillId="2" borderId="1" xfId="0" applyNumberFormat="1" applyFont="1" applyFill="1" applyBorder="1" applyAlignment="1">
      <alignment horizontal="justify" vertical="center" wrapText="1"/>
    </xf>
    <xf numFmtId="10" fontId="2" fillId="0" borderId="1" xfId="0" applyNumberFormat="1" applyFont="1" applyBorder="1"/>
    <xf numFmtId="9" fontId="2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zoomScale="90" zoomScaleNormal="90" workbookViewId="0">
      <pane ySplit="1" topLeftCell="A2" activePane="bottomLeft" state="frozen"/>
      <selection pane="bottomLeft" activeCell="P10" sqref="P10"/>
    </sheetView>
  </sheetViews>
  <sheetFormatPr defaultColWidth="9.1796875" defaultRowHeight="12" x14ac:dyDescent="0.3"/>
  <cols>
    <col min="1" max="1" width="6.54296875" style="5" bestFit="1" customWidth="1"/>
    <col min="2" max="2" width="4.453125" style="5" bestFit="1" customWidth="1"/>
    <col min="3" max="3" width="8.81640625" style="5" bestFit="1" customWidth="1"/>
    <col min="4" max="4" width="7.7265625" style="5" bestFit="1" customWidth="1"/>
    <col min="5" max="5" width="9.26953125" style="5" bestFit="1" customWidth="1"/>
    <col min="6" max="6" width="9.1796875" style="5"/>
    <col min="7" max="7" width="6.54296875" style="5" bestFit="1" customWidth="1"/>
    <col min="8" max="10" width="7.54296875" style="5" bestFit="1" customWidth="1"/>
    <col min="11" max="11" width="6.1796875" style="5" bestFit="1" customWidth="1"/>
    <col min="12" max="12" width="6" style="5" bestFit="1" customWidth="1"/>
    <col min="13" max="13" width="6" style="5" customWidth="1"/>
    <col min="14" max="14" width="34.81640625" style="5" bestFit="1" customWidth="1"/>
    <col min="15" max="15" width="24.7265625" style="5" bestFit="1" customWidth="1"/>
    <col min="16" max="16384" width="9.1796875" style="5"/>
  </cols>
  <sheetData>
    <row r="1" spans="1:15" ht="24" x14ac:dyDescent="0.3">
      <c r="A1" s="1" t="s">
        <v>0</v>
      </c>
      <c r="B1" s="2" t="s">
        <v>18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1" t="s">
        <v>11</v>
      </c>
      <c r="N1" s="4" t="s">
        <v>12</v>
      </c>
      <c r="O1" s="1" t="s">
        <v>13</v>
      </c>
    </row>
    <row r="2" spans="1:15" x14ac:dyDescent="0.3">
      <c r="A2" s="6" t="str">
        <f>LEFT(C2,2)</f>
        <v>22</v>
      </c>
      <c r="B2" s="7" t="s">
        <v>14</v>
      </c>
      <c r="C2" s="7" t="s">
        <v>15</v>
      </c>
      <c r="D2" s="7">
        <v>2309</v>
      </c>
      <c r="E2" s="8">
        <v>43592</v>
      </c>
      <c r="F2" s="8">
        <v>45291</v>
      </c>
      <c r="G2" s="9">
        <v>0.46</v>
      </c>
      <c r="H2" s="9">
        <f>((1+G2)*(1-4%)/(1-K2))-1</f>
        <v>0.70926829268292657</v>
      </c>
      <c r="I2" s="9">
        <f>((1+G2)*(1-7%)/(1-K2))-1</f>
        <v>0.65585365853658506</v>
      </c>
      <c r="J2" s="9">
        <f>((1+G2)*(1-12%)/(1-K2))-1</f>
        <v>0.56682926829268276</v>
      </c>
      <c r="K2" s="10">
        <v>0.18</v>
      </c>
      <c r="L2" s="10">
        <v>0.02</v>
      </c>
      <c r="M2" s="10"/>
      <c r="N2" s="7" t="s">
        <v>16</v>
      </c>
      <c r="O2" s="11" t="s">
        <v>17</v>
      </c>
    </row>
    <row r="3" spans="1:15" x14ac:dyDescent="0.3">
      <c r="A3" s="6" t="str">
        <f>LEFT(C3,2)</f>
        <v>22</v>
      </c>
      <c r="B3" s="7" t="s">
        <v>14</v>
      </c>
      <c r="C3" s="7" t="s">
        <v>15</v>
      </c>
      <c r="D3" s="7">
        <v>2309</v>
      </c>
      <c r="E3" s="8">
        <v>45292</v>
      </c>
      <c r="F3" s="7"/>
      <c r="G3" s="9">
        <v>0.46</v>
      </c>
      <c r="H3" s="9">
        <f>((1+G3)*(1-4%)/(1-K3))-1</f>
        <v>0.75199999999999978</v>
      </c>
      <c r="I3" s="9">
        <f>((1+G3)*(1-7%)/(1-K3))-1</f>
        <v>0.6972499999999997</v>
      </c>
      <c r="J3" s="9">
        <f>((1+G3)*(1-12%)/(1-K3))-1</f>
        <v>0.60599999999999987</v>
      </c>
      <c r="K3" s="10">
        <v>0.2</v>
      </c>
      <c r="L3" s="10">
        <v>0.02</v>
      </c>
      <c r="M3" s="10"/>
      <c r="N3" s="7" t="s">
        <v>16</v>
      </c>
      <c r="O3" s="11" t="s">
        <v>19</v>
      </c>
    </row>
  </sheetData>
  <sheetProtection password="F150" sheet="1" objects="1" scenarios="1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Racoes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Antonio de Arruda</dc:creator>
  <cp:lastModifiedBy>Joselinda Goncalves Machado</cp:lastModifiedBy>
  <dcterms:created xsi:type="dcterms:W3CDTF">2019-07-04T13:59:14Z</dcterms:created>
  <dcterms:modified xsi:type="dcterms:W3CDTF">2025-02-27T12:23:14Z</dcterms:modified>
</cp:coreProperties>
</file>