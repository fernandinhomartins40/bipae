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Lampadas" sheetId="1" r:id="rId1"/>
  </sheets>
  <calcPr calcId="145621"/>
</workbook>
</file>

<file path=xl/calcChain.xml><?xml version="1.0" encoding="utf-8"?>
<calcChain xmlns="http://schemas.openxmlformats.org/spreadsheetml/2006/main">
  <c r="J12" i="1" l="1"/>
  <c r="I12" i="1"/>
  <c r="H12" i="1"/>
  <c r="A12" i="1"/>
  <c r="J9" i="1"/>
  <c r="I9" i="1"/>
  <c r="H9" i="1"/>
  <c r="A9" i="1"/>
  <c r="J7" i="1"/>
  <c r="I7" i="1"/>
  <c r="H7" i="1"/>
  <c r="A7" i="1"/>
  <c r="J5" i="1"/>
  <c r="I5" i="1"/>
  <c r="H5" i="1"/>
  <c r="A5" i="1"/>
  <c r="J3" i="1"/>
  <c r="I3" i="1"/>
  <c r="H3" i="1"/>
  <c r="A3" i="1"/>
  <c r="A11" i="1" l="1"/>
  <c r="H11" i="1"/>
  <c r="I11" i="1"/>
  <c r="J11" i="1"/>
  <c r="J10" i="1" l="1"/>
  <c r="I10" i="1"/>
  <c r="H10" i="1"/>
  <c r="A10" i="1"/>
  <c r="J8" i="1"/>
  <c r="I8" i="1"/>
  <c r="H8" i="1"/>
  <c r="A8" i="1"/>
  <c r="J6" i="1"/>
  <c r="I6" i="1"/>
  <c r="H6" i="1"/>
  <c r="A6" i="1"/>
  <c r="J4" i="1"/>
  <c r="I4" i="1"/>
  <c r="H4" i="1"/>
  <c r="A4" i="1"/>
  <c r="J2" i="1"/>
  <c r="I2" i="1"/>
  <c r="H2" i="1"/>
  <c r="A2" i="1"/>
</calcChain>
</file>

<file path=xl/sharedStrings.xml><?xml version="1.0" encoding="utf-8"?>
<sst xmlns="http://schemas.openxmlformats.org/spreadsheetml/2006/main" count="59" uniqueCount="34">
  <si>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</si>
  <si>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</si>
  <si>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</si>
  <si>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</si>
  <si>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</si>
  <si>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</si>
  <si>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</si>
  <si>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</si>
  <si>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</si>
  <si>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</si>
  <si>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</si>
  <si>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</si>
  <si>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</si>
  <si>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</si>
  <si>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</si>
  <si>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</si>
  <si>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09.001.00</t>
  </si>
  <si>
    <t>Lâmpadas elétricas</t>
  </si>
  <si>
    <t>DECRETO ICMS/PB Nº 39.158</t>
  </si>
  <si>
    <t>2.0</t>
  </si>
  <si>
    <t>09.002.00</t>
  </si>
  <si>
    <t>Lâmpadas eletrônicas</t>
  </si>
  <si>
    <t>3.0</t>
  </si>
  <si>
    <t>09.003.00</t>
  </si>
  <si>
    <t>Reatores para lâmpadas ou tubos de descargas</t>
  </si>
  <si>
    <t>4.0</t>
  </si>
  <si>
    <t>09.004.00</t>
  </si>
  <si>
    <t>“Starter”</t>
  </si>
  <si>
    <t>5.0</t>
  </si>
  <si>
    <t>09.005.00</t>
  </si>
  <si>
    <t>Lâmpadas de LED (Diodos Emissores de Luz)</t>
  </si>
  <si>
    <t>DECRETO ICMS/PB Nº 39.158// Decreto 43.079/2022</t>
  </si>
  <si>
    <t>DECRETO 43.079/2022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</si>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</sst>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10" fontId="2" fillId="0" borderId="1" xfId="0" applyNumberFormat="1" applyFont="1" applyBorder="1"/>
    <xf numFmtId="9" fontId="2" fillId="0" borderId="1" xfId="0" applyNumberFormat="1" applyFont="1" applyBorder="1"/>
    <xf numFmtId="9" fontId="2" fillId="0" borderId="2" xfId="0" applyNumberFormat="1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pane ySplit="1" topLeftCell="A2" activePane="bottomLeft" state="frozen"/>
      <selection pane="bottomLeft" activeCell="G19" sqref="G19"/>
    </sheetView>
  </sheetViews>
  <sheetFormatPr defaultColWidth="9.1796875" defaultRowHeight="12" x14ac:dyDescent="0.3"/>
  <cols>
    <col min="1" max="1" width="6.54296875" style="15" bestFit="1" customWidth="1"/>
    <col min="2" max="2" width="4.54296875" style="15" bestFit="1" customWidth="1"/>
    <col min="3" max="3" width="7.81640625" style="15" bestFit="1" customWidth="1"/>
    <col min="4" max="4" width="8.7265625" style="15" bestFit="1" customWidth="1"/>
    <col min="5" max="5" width="9.26953125" style="15" bestFit="1" customWidth="1"/>
    <col min="6" max="6" width="9.81640625" style="15" customWidth="1"/>
    <col min="7" max="10" width="9.1796875" style="15"/>
    <col min="11" max="11" width="6" style="16" bestFit="1" customWidth="1"/>
    <col min="12" max="12" width="6" style="15" bestFit="1" customWidth="1"/>
    <col min="13" max="13" width="5" style="15" bestFit="1" customWidth="1"/>
    <col min="14" max="14" width="33.26953125" style="15" customWidth="1"/>
    <col min="15" max="15" width="26.81640625" style="15" customWidth="1"/>
    <col min="16" max="16384" width="9.1796875" style="15"/>
  </cols>
  <sheetData>
    <row r="1" spans="1:15" s="6" customFormat="1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5" t="s">
        <v>12</v>
      </c>
      <c r="N1" s="2" t="s">
        <v>13</v>
      </c>
      <c r="O1" s="1" t="s">
        <v>14</v>
      </c>
    </row>
    <row r="2" spans="1:15" x14ac:dyDescent="0.3">
      <c r="A2" s="7" t="str">
        <f t="shared" ref="A2:A12" si="0">LEFT(C2,2)</f>
        <v>09</v>
      </c>
      <c r="B2" s="8" t="s">
        <v>15</v>
      </c>
      <c r="C2" s="8" t="s">
        <v>16</v>
      </c>
      <c r="D2" s="8">
        <v>8539</v>
      </c>
      <c r="E2" s="9">
        <v>43592</v>
      </c>
      <c r="F2" s="9">
        <v>45291</v>
      </c>
      <c r="G2" s="10">
        <v>0.60029999999999994</v>
      </c>
      <c r="H2" s="10">
        <f t="shared" ref="H2:H12" si="1">((1+$G2)*(1-4%)/(1-$K2))-1</f>
        <v>0.87352195121951182</v>
      </c>
      <c r="I2" s="10">
        <f t="shared" ref="I2:I12" si="2">((1+$G2)*(1-7%)/(1-$K2))-1</f>
        <v>0.81497439024390195</v>
      </c>
      <c r="J2" s="10">
        <f t="shared" ref="J2:J12" si="3">((1+$G2)*(1-12%)/(1-$K2))-1</f>
        <v>0.71739512195121935</v>
      </c>
      <c r="K2" s="11">
        <v>0.18</v>
      </c>
      <c r="L2" s="12"/>
      <c r="M2" s="13"/>
      <c r="N2" s="8" t="s">
        <v>17</v>
      </c>
      <c r="O2" s="14" t="s">
        <v>18</v>
      </c>
    </row>
    <row r="3" spans="1:15" x14ac:dyDescent="0.3">
      <c r="A3" s="7" t="str">
        <f t="shared" si="0"/>
        <v>09</v>
      </c>
      <c r="B3" s="8" t="s">
        <v>15</v>
      </c>
      <c r="C3" s="8" t="s">
        <v>16</v>
      </c>
      <c r="D3" s="8">
        <v>8539</v>
      </c>
      <c r="E3" s="9">
        <v>45292</v>
      </c>
      <c r="F3" s="8"/>
      <c r="G3" s="10">
        <v>0.60029999999999994</v>
      </c>
      <c r="H3" s="10">
        <f t="shared" si="1"/>
        <v>0.92035999999999984</v>
      </c>
      <c r="I3" s="10">
        <f t="shared" si="2"/>
        <v>0.86034874999999955</v>
      </c>
      <c r="J3" s="10">
        <f t="shared" si="3"/>
        <v>0.76032999999999995</v>
      </c>
      <c r="K3" s="11">
        <v>0.2</v>
      </c>
      <c r="L3" s="12"/>
      <c r="M3" s="13"/>
      <c r="N3" s="8" t="s">
        <v>17</v>
      </c>
      <c r="O3" s="14" t="s">
        <v>33</v>
      </c>
    </row>
    <row r="4" spans="1:15" x14ac:dyDescent="0.3">
      <c r="A4" s="7" t="str">
        <f t="shared" si="0"/>
        <v>09</v>
      </c>
      <c r="B4" s="8" t="s">
        <v>19</v>
      </c>
      <c r="C4" s="8" t="s">
        <v>20</v>
      </c>
      <c r="D4" s="8">
        <v>8540</v>
      </c>
      <c r="E4" s="9">
        <v>43592</v>
      </c>
      <c r="F4" s="9">
        <v>45291</v>
      </c>
      <c r="G4" s="10">
        <v>1.0230999999999999</v>
      </c>
      <c r="H4" s="10">
        <f t="shared" si="1"/>
        <v>1.3685073170731705</v>
      </c>
      <c r="I4" s="10">
        <f t="shared" si="2"/>
        <v>1.2944914634146336</v>
      </c>
      <c r="J4" s="10">
        <f t="shared" si="3"/>
        <v>1.1711317073170728</v>
      </c>
      <c r="K4" s="11">
        <v>0.18</v>
      </c>
      <c r="L4" s="12"/>
      <c r="M4" s="13"/>
      <c r="N4" s="8" t="s">
        <v>21</v>
      </c>
      <c r="O4" s="14" t="s">
        <v>18</v>
      </c>
    </row>
    <row r="5" spans="1:15" x14ac:dyDescent="0.3">
      <c r="A5" s="7" t="str">
        <f t="shared" si="0"/>
        <v>09</v>
      </c>
      <c r="B5" s="8" t="s">
        <v>19</v>
      </c>
      <c r="C5" s="8" t="s">
        <v>20</v>
      </c>
      <c r="D5" s="8">
        <v>8540</v>
      </c>
      <c r="E5" s="9">
        <v>45292</v>
      </c>
      <c r="F5" s="8"/>
      <c r="G5" s="10">
        <v>1.0230999999999999</v>
      </c>
      <c r="H5" s="10">
        <f t="shared" si="1"/>
        <v>1.4277199999999999</v>
      </c>
      <c r="I5" s="10">
        <f t="shared" si="2"/>
        <v>1.3518537499999996</v>
      </c>
      <c r="J5" s="10">
        <f t="shared" si="3"/>
        <v>1.2254099999999997</v>
      </c>
      <c r="K5" s="11">
        <v>0.2</v>
      </c>
      <c r="L5" s="12"/>
      <c r="M5" s="13"/>
      <c r="N5" s="8" t="s">
        <v>21</v>
      </c>
      <c r="O5" s="14" t="s">
        <v>33</v>
      </c>
    </row>
    <row r="6" spans="1:15" x14ac:dyDescent="0.3">
      <c r="A6" s="7" t="str">
        <f t="shared" si="0"/>
        <v>09</v>
      </c>
      <c r="B6" s="8" t="s">
        <v>22</v>
      </c>
      <c r="C6" s="8" t="s">
        <v>23</v>
      </c>
      <c r="D6" s="8">
        <v>85041000</v>
      </c>
      <c r="E6" s="9">
        <v>43592</v>
      </c>
      <c r="F6" s="9">
        <v>45291</v>
      </c>
      <c r="G6" s="10">
        <v>0.53129999999999999</v>
      </c>
      <c r="H6" s="10">
        <f t="shared" si="1"/>
        <v>0.7927414634146337</v>
      </c>
      <c r="I6" s="10">
        <f t="shared" si="2"/>
        <v>0.73671829268292655</v>
      </c>
      <c r="J6" s="10">
        <f t="shared" si="3"/>
        <v>0.64334634146341441</v>
      </c>
      <c r="K6" s="11">
        <v>0.18</v>
      </c>
      <c r="L6" s="12"/>
      <c r="M6" s="13"/>
      <c r="N6" s="8" t="s">
        <v>24</v>
      </c>
      <c r="O6" s="14" t="s">
        <v>18</v>
      </c>
    </row>
    <row r="7" spans="1:15" x14ac:dyDescent="0.3">
      <c r="A7" s="7" t="str">
        <f t="shared" si="0"/>
        <v>09</v>
      </c>
      <c r="B7" s="8" t="s">
        <v>22</v>
      </c>
      <c r="C7" s="8" t="s">
        <v>23</v>
      </c>
      <c r="D7" s="8">
        <v>85041000</v>
      </c>
      <c r="E7" s="9">
        <v>45292</v>
      </c>
      <c r="F7" s="8"/>
      <c r="G7" s="10">
        <v>0.53129999999999999</v>
      </c>
      <c r="H7" s="10">
        <f t="shared" si="1"/>
        <v>0.83755999999999964</v>
      </c>
      <c r="I7" s="10">
        <f t="shared" si="2"/>
        <v>0.78013624999999975</v>
      </c>
      <c r="J7" s="10">
        <f t="shared" si="3"/>
        <v>0.68442999999999965</v>
      </c>
      <c r="K7" s="11">
        <v>0.2</v>
      </c>
      <c r="L7" s="12"/>
      <c r="M7" s="13"/>
      <c r="N7" s="8" t="s">
        <v>24</v>
      </c>
      <c r="O7" s="14" t="s">
        <v>33</v>
      </c>
    </row>
    <row r="8" spans="1:15" x14ac:dyDescent="0.3">
      <c r="A8" s="7" t="str">
        <f t="shared" si="0"/>
        <v>09</v>
      </c>
      <c r="B8" s="8" t="s">
        <v>25</v>
      </c>
      <c r="C8" s="8" t="s">
        <v>26</v>
      </c>
      <c r="D8" s="8">
        <v>853650</v>
      </c>
      <c r="E8" s="9">
        <v>43592</v>
      </c>
      <c r="F8" s="9">
        <v>45291</v>
      </c>
      <c r="G8" s="10">
        <v>1.0230999999999999</v>
      </c>
      <c r="H8" s="10">
        <f t="shared" si="1"/>
        <v>1.3685073170731705</v>
      </c>
      <c r="I8" s="10">
        <f t="shared" si="2"/>
        <v>1.2944914634146336</v>
      </c>
      <c r="J8" s="10">
        <f t="shared" si="3"/>
        <v>1.1711317073170728</v>
      </c>
      <c r="K8" s="11">
        <v>0.18</v>
      </c>
      <c r="L8" s="12"/>
      <c r="M8" s="13"/>
      <c r="N8" s="8" t="s">
        <v>27</v>
      </c>
      <c r="O8" s="14" t="s">
        <v>18</v>
      </c>
    </row>
    <row r="9" spans="1:15" x14ac:dyDescent="0.3">
      <c r="A9" s="7" t="str">
        <f t="shared" si="0"/>
        <v>09</v>
      </c>
      <c r="B9" s="8" t="s">
        <v>25</v>
      </c>
      <c r="C9" s="8" t="s">
        <v>26</v>
      </c>
      <c r="D9" s="8">
        <v>853650</v>
      </c>
      <c r="E9" s="9">
        <v>45292</v>
      </c>
      <c r="F9" s="8"/>
      <c r="G9" s="10">
        <v>1.0230999999999999</v>
      </c>
      <c r="H9" s="10">
        <f t="shared" si="1"/>
        <v>1.4277199999999999</v>
      </c>
      <c r="I9" s="10">
        <f t="shared" si="2"/>
        <v>1.3518537499999996</v>
      </c>
      <c r="J9" s="10">
        <f t="shared" si="3"/>
        <v>1.2254099999999997</v>
      </c>
      <c r="K9" s="11">
        <v>0.2</v>
      </c>
      <c r="L9" s="12"/>
      <c r="M9" s="13"/>
      <c r="N9" s="8" t="s">
        <v>27</v>
      </c>
      <c r="O9" s="14" t="s">
        <v>33</v>
      </c>
    </row>
    <row r="10" spans="1:15" ht="16" customHeight="1" x14ac:dyDescent="0.3">
      <c r="A10" s="7" t="str">
        <f t="shared" si="0"/>
        <v>09</v>
      </c>
      <c r="B10" s="8" t="s">
        <v>28</v>
      </c>
      <c r="C10" s="8" t="s">
        <v>29</v>
      </c>
      <c r="D10" s="8">
        <v>85395000</v>
      </c>
      <c r="E10" s="9">
        <v>43592</v>
      </c>
      <c r="F10" s="9">
        <v>44682</v>
      </c>
      <c r="G10" s="10">
        <v>0.63670000000000004</v>
      </c>
      <c r="H10" s="10">
        <f t="shared" si="1"/>
        <v>0.91613658536585341</v>
      </c>
      <c r="I10" s="10">
        <f t="shared" si="2"/>
        <v>0.85625731707317043</v>
      </c>
      <c r="J10" s="10">
        <f t="shared" si="3"/>
        <v>0.75645853658536577</v>
      </c>
      <c r="K10" s="11">
        <v>0.18</v>
      </c>
      <c r="L10" s="12"/>
      <c r="M10" s="13"/>
      <c r="N10" s="8" t="s">
        <v>30</v>
      </c>
      <c r="O10" s="14" t="s">
        <v>31</v>
      </c>
    </row>
    <row r="11" spans="1:15" x14ac:dyDescent="0.3">
      <c r="A11" s="7" t="str">
        <f t="shared" si="0"/>
        <v>09</v>
      </c>
      <c r="B11" s="8" t="s">
        <v>28</v>
      </c>
      <c r="C11" s="8" t="s">
        <v>29</v>
      </c>
      <c r="D11" s="8">
        <v>85395200</v>
      </c>
      <c r="E11" s="9">
        <v>44683</v>
      </c>
      <c r="F11" s="9">
        <v>45291</v>
      </c>
      <c r="G11" s="10">
        <v>0.63670000000000004</v>
      </c>
      <c r="H11" s="10">
        <f t="shared" si="1"/>
        <v>0.91613658536585341</v>
      </c>
      <c r="I11" s="10">
        <f t="shared" si="2"/>
        <v>0.85625731707317043</v>
      </c>
      <c r="J11" s="10">
        <f t="shared" si="3"/>
        <v>0.75645853658536577</v>
      </c>
      <c r="K11" s="11">
        <v>0.18</v>
      </c>
      <c r="L11" s="12"/>
      <c r="M11" s="13"/>
      <c r="N11" s="8" t="s">
        <v>30</v>
      </c>
      <c r="O11" s="14" t="s">
        <v>32</v>
      </c>
    </row>
    <row r="12" spans="1:15" ht="14" customHeight="1" x14ac:dyDescent="0.3">
      <c r="A12" s="7" t="str">
        <f t="shared" si="0"/>
        <v>09</v>
      </c>
      <c r="B12" s="8" t="s">
        <v>28</v>
      </c>
      <c r="C12" s="8" t="s">
        <v>29</v>
      </c>
      <c r="D12" s="8">
        <v>85395200</v>
      </c>
      <c r="E12" s="9">
        <v>45292</v>
      </c>
      <c r="F12" s="8"/>
      <c r="G12" s="10">
        <v>0.63670000000000004</v>
      </c>
      <c r="H12" s="10">
        <f t="shared" si="1"/>
        <v>0.96403999999999979</v>
      </c>
      <c r="I12" s="10">
        <f t="shared" si="2"/>
        <v>0.90266374999999988</v>
      </c>
      <c r="J12" s="10">
        <f t="shared" si="3"/>
        <v>0.80037000000000003</v>
      </c>
      <c r="K12" s="11">
        <v>0.2</v>
      </c>
      <c r="L12" s="12"/>
      <c r="M12" s="13"/>
      <c r="N12" s="8" t="s">
        <v>30</v>
      </c>
      <c r="O12" s="14" t="s">
        <v>33</v>
      </c>
    </row>
  </sheetData>
  <sheetProtection password="F150" sheet="1" objects="1" scenarios="1"/>
  <sortState ref="A2:O12">
    <sortCondition ref="B2:B12"/>
    <sortCondition ref="C2:C12"/>
    <sortCondition ref="D2:D12"/>
    <sortCondition ref="E2:E1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Lampadas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2019-07-04T13:51:21Z</dcterms:created>
  <dcterms:modified xsi:type="dcterms:W3CDTF">2025-02-27T12:19:09Z</dcterms:modified>
</cp:coreProperties>
</file>